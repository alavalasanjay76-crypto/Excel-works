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\Documents\"/>
    </mc:Choice>
  </mc:AlternateContent>
  <xr:revisionPtr revIDLastSave="0" documentId="13_ncr:1_{6FDAE662-3786-45D2-AF7D-D03098895C96}" xr6:coauthVersionLast="47" xr6:coauthVersionMax="47" xr10:uidLastSave="{00000000-0000-0000-0000-000000000000}"/>
  <bookViews>
    <workbookView xWindow="-108" yWindow="-108" windowWidth="23256" windowHeight="13896" xr2:uid="{7BB71FF1-75C0-4A3B-91E8-1637D0048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H28" i="1"/>
  <c r="K27" i="1"/>
  <c r="J27" i="1"/>
  <c r="I27" i="1"/>
  <c r="H27" i="1"/>
  <c r="K26" i="1"/>
  <c r="J26" i="1"/>
  <c r="I26" i="1"/>
  <c r="H26" i="1"/>
  <c r="D26" i="1"/>
  <c r="E26" i="1"/>
  <c r="F26" i="1"/>
  <c r="D27" i="1"/>
  <c r="E27" i="1"/>
  <c r="F27" i="1"/>
  <c r="D28" i="1"/>
  <c r="E28" i="1"/>
  <c r="F28" i="1"/>
  <c r="C28" i="1"/>
  <c r="C27" i="1"/>
  <c r="C26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<sst xmlns="http://schemas.openxmlformats.org/spreadsheetml/2006/main" count="56" uniqueCount="52">
  <si>
    <t>Grade book</t>
  </si>
  <si>
    <t>First_name</t>
  </si>
  <si>
    <t>Last_name</t>
  </si>
  <si>
    <t>Financial skill test</t>
  </si>
  <si>
    <t>Company philosophy test</t>
  </si>
  <si>
    <t>Drug test</t>
  </si>
  <si>
    <t xml:space="preserve">  Safety test</t>
  </si>
  <si>
    <t>Points possible</t>
  </si>
  <si>
    <t>Aarav</t>
  </si>
  <si>
    <t>Sharma</t>
  </si>
  <si>
    <t>Priya</t>
  </si>
  <si>
    <t>Reddy</t>
  </si>
  <si>
    <t>Rahul</t>
  </si>
  <si>
    <t>Verma</t>
  </si>
  <si>
    <t>Ananya</t>
  </si>
  <si>
    <t>Gupta</t>
  </si>
  <si>
    <t>Vikram</t>
  </si>
  <si>
    <t>Singh</t>
  </si>
  <si>
    <t>Sneha</t>
  </si>
  <si>
    <t>Patel</t>
  </si>
  <si>
    <t>Arjun</t>
  </si>
  <si>
    <t>Mehta</t>
  </si>
  <si>
    <t>Kavya</t>
  </si>
  <si>
    <t>Nair</t>
  </si>
  <si>
    <t>Rohit</t>
  </si>
  <si>
    <t>Kumar</t>
  </si>
  <si>
    <t>Neha</t>
  </si>
  <si>
    <t>Joshi</t>
  </si>
  <si>
    <t>Aditya</t>
  </si>
  <si>
    <t>Rao</t>
  </si>
  <si>
    <t>Meera</t>
  </si>
  <si>
    <t>Iyer</t>
  </si>
  <si>
    <t>Karan</t>
  </si>
  <si>
    <t>Malhotra</t>
  </si>
  <si>
    <t>Divya</t>
  </si>
  <si>
    <t>Menon</t>
  </si>
  <si>
    <t>Siddharth</t>
  </si>
  <si>
    <t>Das</t>
  </si>
  <si>
    <t>Pooja</t>
  </si>
  <si>
    <t>Mishra</t>
  </si>
  <si>
    <t>Nikhil</t>
  </si>
  <si>
    <t>Choudhary</t>
  </si>
  <si>
    <t>Aisha</t>
  </si>
  <si>
    <t>Khan</t>
  </si>
  <si>
    <t>Rohan</t>
  </si>
  <si>
    <t>Banerjee</t>
  </si>
  <si>
    <t>Ishita</t>
  </si>
  <si>
    <t>Kapoor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</si>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</sst>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vertical="center" wrapText="1"/>
    </xf>
    <xf numFmtId="9" fontId="0" fillId="0" borderId="0" xfId="1" applyFont="1"/>
    <xf numFmtId="169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Rahul</c:v>
                </c:pt>
                <c:pt idx="3">
                  <c:v>Ananya</c:v>
                </c:pt>
                <c:pt idx="4">
                  <c:v>Vikram</c:v>
                </c:pt>
                <c:pt idx="5">
                  <c:v>Sneha</c:v>
                </c:pt>
                <c:pt idx="6">
                  <c:v>Arjun</c:v>
                </c:pt>
                <c:pt idx="7">
                  <c:v>Kavya</c:v>
                </c:pt>
                <c:pt idx="8">
                  <c:v>Rohit</c:v>
                </c:pt>
                <c:pt idx="9">
                  <c:v>Neha</c:v>
                </c:pt>
                <c:pt idx="10">
                  <c:v>Aditya</c:v>
                </c:pt>
                <c:pt idx="11">
                  <c:v>Meera</c:v>
                </c:pt>
                <c:pt idx="12">
                  <c:v>Karan</c:v>
                </c:pt>
                <c:pt idx="13">
                  <c:v>Divya</c:v>
                </c:pt>
                <c:pt idx="14">
                  <c:v>Siddharth</c:v>
                </c:pt>
                <c:pt idx="15">
                  <c:v>Pooja</c:v>
                </c:pt>
                <c:pt idx="16">
                  <c:v>Nikhil</c:v>
                </c:pt>
                <c:pt idx="17">
                  <c:v>Aisha</c:v>
                </c:pt>
                <c:pt idx="18">
                  <c:v>Rohan</c:v>
                </c:pt>
                <c:pt idx="19">
                  <c:v>Ishita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5</c:v>
                </c:pt>
                <c:pt idx="15">
                  <c:v>10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A-4F7D-B0C6-0A85DA05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504255"/>
        <c:axId val="1761481455"/>
      </c:barChart>
      <c:catAx>
        <c:axId val="545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81455"/>
        <c:crosses val="autoZero"/>
        <c:auto val="1"/>
        <c:lblAlgn val="ctr"/>
        <c:lblOffset val="100"/>
        <c:noMultiLvlLbl val="0"/>
      </c:catAx>
      <c:valAx>
        <c:axId val="17614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Company philosophy test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Rahul</c:v>
                </c:pt>
                <c:pt idx="3">
                  <c:v>Ananya</c:v>
                </c:pt>
                <c:pt idx="4">
                  <c:v>Vikram</c:v>
                </c:pt>
                <c:pt idx="5">
                  <c:v>Sneha</c:v>
                </c:pt>
                <c:pt idx="6">
                  <c:v>Arjun</c:v>
                </c:pt>
                <c:pt idx="7">
                  <c:v>Kavya</c:v>
                </c:pt>
                <c:pt idx="8">
                  <c:v>Rohit</c:v>
                </c:pt>
                <c:pt idx="9">
                  <c:v>Neha</c:v>
                </c:pt>
                <c:pt idx="10">
                  <c:v>Aditya</c:v>
                </c:pt>
                <c:pt idx="11">
                  <c:v>Meera</c:v>
                </c:pt>
                <c:pt idx="12">
                  <c:v>Karan</c:v>
                </c:pt>
                <c:pt idx="13">
                  <c:v>Divya</c:v>
                </c:pt>
                <c:pt idx="14">
                  <c:v>Siddharth</c:v>
                </c:pt>
                <c:pt idx="15">
                  <c:v>Pooja</c:v>
                </c:pt>
                <c:pt idx="16">
                  <c:v>Nikhil</c:v>
                </c:pt>
                <c:pt idx="17">
                  <c:v>Aisha</c:v>
                </c:pt>
                <c:pt idx="18">
                  <c:v>Rohan</c:v>
                </c:pt>
                <c:pt idx="19">
                  <c:v>Ishita</c:v>
                </c:pt>
              </c:strCache>
            </c:strRef>
          </c:cat>
          <c:val>
            <c:numRef>
              <c:f>Sheet1!$D$4:$D$23</c:f>
              <c:numCache>
                <c:formatCode>General</c:formatCode>
                <c:ptCount val="20"/>
                <c:pt idx="0">
                  <c:v>12</c:v>
                </c:pt>
                <c:pt idx="1">
                  <c:v>7</c:v>
                </c:pt>
                <c:pt idx="2">
                  <c:v>19</c:v>
                </c:pt>
                <c:pt idx="3">
                  <c:v>15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14</c:v>
                </c:pt>
                <c:pt idx="8">
                  <c:v>20</c:v>
                </c:pt>
                <c:pt idx="9">
                  <c:v>11</c:v>
                </c:pt>
                <c:pt idx="10">
                  <c:v>8</c:v>
                </c:pt>
                <c:pt idx="11">
                  <c:v>16</c:v>
                </c:pt>
                <c:pt idx="12">
                  <c:v>13</c:v>
                </c:pt>
                <c:pt idx="13">
                  <c:v>5</c:v>
                </c:pt>
                <c:pt idx="14">
                  <c:v>17</c:v>
                </c:pt>
                <c:pt idx="15">
                  <c:v>10</c:v>
                </c:pt>
                <c:pt idx="16">
                  <c:v>19</c:v>
                </c:pt>
                <c:pt idx="17">
                  <c:v>7</c:v>
                </c:pt>
                <c:pt idx="18">
                  <c:v>15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7-4FCD-AD0D-69EE8D17E0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Rahul</c:v>
                </c:pt>
                <c:pt idx="3">
                  <c:v>Ananya</c:v>
                </c:pt>
                <c:pt idx="4">
                  <c:v>Vikram</c:v>
                </c:pt>
                <c:pt idx="5">
                  <c:v>Sneha</c:v>
                </c:pt>
                <c:pt idx="6">
                  <c:v>Arjun</c:v>
                </c:pt>
                <c:pt idx="7">
                  <c:v>Kavya</c:v>
                </c:pt>
                <c:pt idx="8">
                  <c:v>Rohit</c:v>
                </c:pt>
                <c:pt idx="9">
                  <c:v>Neha</c:v>
                </c:pt>
                <c:pt idx="10">
                  <c:v>Aditya</c:v>
                </c:pt>
                <c:pt idx="11">
                  <c:v>Meera</c:v>
                </c:pt>
                <c:pt idx="12">
                  <c:v>Karan</c:v>
                </c:pt>
                <c:pt idx="13">
                  <c:v>Divya</c:v>
                </c:pt>
                <c:pt idx="14">
                  <c:v>Siddharth</c:v>
                </c:pt>
                <c:pt idx="15">
                  <c:v>Pooja</c:v>
                </c:pt>
                <c:pt idx="16">
                  <c:v>Nikhil</c:v>
                </c:pt>
                <c:pt idx="17">
                  <c:v>Aisha</c:v>
                </c:pt>
                <c:pt idx="18">
                  <c:v>Rohan</c:v>
                </c:pt>
                <c:pt idx="19">
                  <c:v>Ishita</c:v>
                </c:pt>
              </c:strCache>
            </c:strRef>
          </c:cat>
          <c:val>
            <c:numRef>
              <c:f>Sheet1!$I$1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7-4FCD-AD0D-69EE8D17E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03327"/>
        <c:axId val="1761465135"/>
      </c:barChart>
      <c:catAx>
        <c:axId val="5450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65135"/>
        <c:crosses val="autoZero"/>
        <c:auto val="1"/>
        <c:lblAlgn val="ctr"/>
        <c:lblOffset val="100"/>
        <c:noMultiLvlLbl val="0"/>
      </c:catAx>
      <c:valAx>
        <c:axId val="176146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Financial skill test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Aarav</c:v>
                </c:pt>
                <c:pt idx="1">
                  <c:v>Priya</c:v>
                </c:pt>
                <c:pt idx="2">
                  <c:v>Rahul</c:v>
                </c:pt>
                <c:pt idx="3">
                  <c:v>Ananya</c:v>
                </c:pt>
                <c:pt idx="4">
                  <c:v>Vikram</c:v>
                </c:pt>
                <c:pt idx="5">
                  <c:v>Sneha</c:v>
                </c:pt>
                <c:pt idx="6">
                  <c:v>Arjun</c:v>
                </c:pt>
                <c:pt idx="7">
                  <c:v>Kavya</c:v>
                </c:pt>
                <c:pt idx="8">
                  <c:v>Rohit</c:v>
                </c:pt>
                <c:pt idx="9">
                  <c:v>Neha</c:v>
                </c:pt>
                <c:pt idx="10">
                  <c:v>Aditya</c:v>
                </c:pt>
                <c:pt idx="11">
                  <c:v>Meera</c:v>
                </c:pt>
                <c:pt idx="12">
                  <c:v>Karan</c:v>
                </c:pt>
                <c:pt idx="13">
                  <c:v>Divya</c:v>
                </c:pt>
                <c:pt idx="14">
                  <c:v>Siddharth</c:v>
                </c:pt>
                <c:pt idx="15">
                  <c:v>Pooja</c:v>
                </c:pt>
                <c:pt idx="16">
                  <c:v>Nikhil</c:v>
                </c:pt>
                <c:pt idx="17">
                  <c:v>Aisha</c:v>
                </c:pt>
                <c:pt idx="18">
                  <c:v>Rohan</c:v>
                </c:pt>
                <c:pt idx="19">
                  <c:v>Ishita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94</c:v>
                </c:pt>
                <c:pt idx="1">
                  <c:v>81</c:v>
                </c:pt>
                <c:pt idx="2">
                  <c:v>99</c:v>
                </c:pt>
                <c:pt idx="3">
                  <c:v>87</c:v>
                </c:pt>
                <c:pt idx="4">
                  <c:v>92</c:v>
                </c:pt>
                <c:pt idx="5">
                  <c:v>85</c:v>
                </c:pt>
                <c:pt idx="6">
                  <c:v>100</c:v>
                </c:pt>
                <c:pt idx="7">
                  <c:v>89</c:v>
                </c:pt>
                <c:pt idx="8">
                  <c:v>83</c:v>
                </c:pt>
                <c:pt idx="9">
                  <c:v>96</c:v>
                </c:pt>
                <c:pt idx="10">
                  <c:v>90</c:v>
                </c:pt>
                <c:pt idx="11">
                  <c:v>82</c:v>
                </c:pt>
                <c:pt idx="12">
                  <c:v>98</c:v>
                </c:pt>
                <c:pt idx="13">
                  <c:v>84</c:v>
                </c:pt>
                <c:pt idx="14">
                  <c:v>91</c:v>
                </c:pt>
                <c:pt idx="15">
                  <c:v>97</c:v>
                </c:pt>
                <c:pt idx="16">
                  <c:v>88</c:v>
                </c:pt>
                <c:pt idx="17">
                  <c:v>95</c:v>
                </c:pt>
                <c:pt idx="18">
                  <c:v>86</c:v>
                </c:pt>
                <c:pt idx="1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A-4C27-B1ED-57D83685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10751"/>
        <c:axId val="1861591087"/>
      </c:barChart>
      <c:catAx>
        <c:axId val="5451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91087"/>
        <c:crosses val="autoZero"/>
        <c:auto val="1"/>
        <c:lblAlgn val="ctr"/>
        <c:lblOffset val="100"/>
        <c:noMultiLvlLbl val="0"/>
      </c:catAx>
      <c:valAx>
        <c:axId val="18615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0</xdr:row>
      <xdr:rowOff>1432560</xdr:rowOff>
    </xdr:from>
    <xdr:to>
      <xdr:col>20</xdr:col>
      <xdr:colOff>594360</xdr:colOff>
      <xdr:row>13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3114B8-8FEE-DD0E-55F4-FC493AA7E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13</xdr:row>
      <xdr:rowOff>179070</xdr:rowOff>
    </xdr:from>
    <xdr:to>
      <xdr:col>20</xdr:col>
      <xdr:colOff>601980</xdr:colOff>
      <xdr:row>27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EC71A6-5598-7603-1078-E1781F66A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38100</xdr:colOff>
      <xdr:row>0</xdr:row>
      <xdr:rowOff>1421130</xdr:rowOff>
    </xdr:from>
    <xdr:to>
      <xdr:col>28</xdr:col>
      <xdr:colOff>342900</xdr:colOff>
      <xdr:row>15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1C4BC4-2E41-B6C2-C5B6-A3E1A468D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C542-4DDA-45E3-8B4E-CB67962CF5BD}">
  <dimension ref="A1:M28"/>
  <sheetViews>
    <sheetView tabSelected="1" workbookViewId="0">
      <selection activeCell="G10" sqref="G10"/>
    </sheetView>
  </sheetViews>
  <sheetFormatPr defaultRowHeight="14.4" x14ac:dyDescent="0.3"/>
  <cols>
    <col min="1" max="1" width="10.21875" customWidth="1"/>
    <col min="2" max="2" width="12.44140625" customWidth="1"/>
    <col min="3" max="3" width="5.109375" customWidth="1"/>
    <col min="4" max="4" width="6.21875" customWidth="1"/>
    <col min="5" max="5" width="7.109375" customWidth="1"/>
    <col min="6" max="6" width="4.44140625" customWidth="1"/>
  </cols>
  <sheetData>
    <row r="1" spans="1:13" ht="113.4" x14ac:dyDescent="0.3">
      <c r="A1" t="s">
        <v>0</v>
      </c>
      <c r="C1" s="1" t="s">
        <v>6</v>
      </c>
      <c r="D1" s="1" t="s">
        <v>4</v>
      </c>
      <c r="E1" s="1" t="s">
        <v>3</v>
      </c>
      <c r="F1" s="1" t="s">
        <v>5</v>
      </c>
      <c r="H1" s="1" t="s">
        <v>6</v>
      </c>
      <c r="I1" s="1" t="s">
        <v>4</v>
      </c>
      <c r="J1" s="1" t="s">
        <v>3</v>
      </c>
      <c r="K1" s="1" t="s">
        <v>5</v>
      </c>
      <c r="M1" s="1" t="s">
        <v>48</v>
      </c>
    </row>
    <row r="2" spans="1:13" x14ac:dyDescent="0.3">
      <c r="B2" t="s">
        <v>7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s="2" t="s">
        <v>8</v>
      </c>
      <c r="B4" s="2" t="s">
        <v>9</v>
      </c>
      <c r="C4">
        <v>8</v>
      </c>
      <c r="D4">
        <v>12</v>
      </c>
      <c r="E4">
        <v>94</v>
      </c>
      <c r="F4">
        <v>1</v>
      </c>
      <c r="H4" s="3">
        <f>C4/C$2</f>
        <v>0.8</v>
      </c>
      <c r="I4" s="3">
        <f>D4/D$2</f>
        <v>0.6</v>
      </c>
      <c r="J4" s="3">
        <f>E4/E$2</f>
        <v>0.94</v>
      </c>
      <c r="K4" s="3">
        <f>F4/F$2</f>
        <v>1</v>
      </c>
      <c r="M4" s="3" t="b">
        <f>OR(H4&lt;0.5,I4&lt;0.5,J4&lt;0.5,K4&lt;0.5)</f>
        <v>0</v>
      </c>
    </row>
    <row r="5" spans="1:13" x14ac:dyDescent="0.3">
      <c r="A5" s="2" t="s">
        <v>10</v>
      </c>
      <c r="B5" s="2" t="s">
        <v>11</v>
      </c>
      <c r="C5">
        <v>6</v>
      </c>
      <c r="D5">
        <v>7</v>
      </c>
      <c r="E5">
        <v>81</v>
      </c>
      <c r="F5">
        <v>0</v>
      </c>
      <c r="H5" s="3">
        <f t="shared" ref="H5:I23" si="0">C5/C$2</f>
        <v>0.6</v>
      </c>
      <c r="I5" s="3">
        <f t="shared" si="0"/>
        <v>0.35</v>
      </c>
      <c r="J5" s="3">
        <f t="shared" ref="J5:J23" si="1">E5/E$2</f>
        <v>0.81</v>
      </c>
      <c r="K5" s="3">
        <f t="shared" ref="K5:K23" si="2">F5/F$2</f>
        <v>0</v>
      </c>
      <c r="M5" s="3" t="b">
        <f t="shared" ref="M5:M23" si="3">OR(H5&lt;0.5,I5&lt;0.5,J5&lt;0.5,K5&lt;0.5)</f>
        <v>1</v>
      </c>
    </row>
    <row r="6" spans="1:13" x14ac:dyDescent="0.3">
      <c r="A6" s="2" t="s">
        <v>12</v>
      </c>
      <c r="B6" s="2" t="s">
        <v>13</v>
      </c>
      <c r="C6">
        <v>10</v>
      </c>
      <c r="D6">
        <v>19</v>
      </c>
      <c r="E6">
        <v>99</v>
      </c>
      <c r="F6">
        <v>1</v>
      </c>
      <c r="H6" s="3">
        <f t="shared" si="0"/>
        <v>1</v>
      </c>
      <c r="I6" s="3">
        <f t="shared" si="0"/>
        <v>0.95</v>
      </c>
      <c r="J6" s="3">
        <f t="shared" si="1"/>
        <v>0.99</v>
      </c>
      <c r="K6" s="3">
        <f t="shared" si="2"/>
        <v>1</v>
      </c>
      <c r="M6" s="3" t="b">
        <f t="shared" si="3"/>
        <v>0</v>
      </c>
    </row>
    <row r="7" spans="1:13" x14ac:dyDescent="0.3">
      <c r="A7" s="2" t="s">
        <v>14</v>
      </c>
      <c r="B7" s="2" t="s">
        <v>15</v>
      </c>
      <c r="C7">
        <v>5</v>
      </c>
      <c r="D7">
        <v>15</v>
      </c>
      <c r="E7">
        <v>87</v>
      </c>
      <c r="F7">
        <v>1</v>
      </c>
      <c r="H7" s="3">
        <f t="shared" si="0"/>
        <v>0.5</v>
      </c>
      <c r="I7" s="3">
        <f t="shared" si="0"/>
        <v>0.75</v>
      </c>
      <c r="J7" s="3">
        <f t="shared" si="1"/>
        <v>0.87</v>
      </c>
      <c r="K7" s="3">
        <f t="shared" si="2"/>
        <v>1</v>
      </c>
      <c r="M7" s="3" t="b">
        <f t="shared" si="3"/>
        <v>0</v>
      </c>
    </row>
    <row r="8" spans="1:13" x14ac:dyDescent="0.3">
      <c r="A8" s="2" t="s">
        <v>16</v>
      </c>
      <c r="B8" s="2" t="s">
        <v>17</v>
      </c>
      <c r="C8">
        <v>9</v>
      </c>
      <c r="D8">
        <v>9</v>
      </c>
      <c r="E8">
        <v>92</v>
      </c>
      <c r="F8">
        <v>0</v>
      </c>
      <c r="H8" s="3">
        <f t="shared" si="0"/>
        <v>0.9</v>
      </c>
      <c r="I8" s="3">
        <f t="shared" si="0"/>
        <v>0.45</v>
      </c>
      <c r="J8" s="3">
        <f t="shared" si="1"/>
        <v>0.92</v>
      </c>
      <c r="K8" s="3">
        <f t="shared" si="2"/>
        <v>0</v>
      </c>
      <c r="M8" s="3" t="b">
        <f t="shared" si="3"/>
        <v>1</v>
      </c>
    </row>
    <row r="9" spans="1:13" x14ac:dyDescent="0.3">
      <c r="A9" s="2" t="s">
        <v>18</v>
      </c>
      <c r="B9" s="2" t="s">
        <v>19</v>
      </c>
      <c r="C9">
        <v>7</v>
      </c>
      <c r="D9">
        <v>18</v>
      </c>
      <c r="E9">
        <v>85</v>
      </c>
      <c r="F9">
        <v>0</v>
      </c>
      <c r="H9" s="3">
        <f t="shared" si="0"/>
        <v>0.7</v>
      </c>
      <c r="I9" s="3">
        <f t="shared" si="0"/>
        <v>0.9</v>
      </c>
      <c r="J9" s="3">
        <f t="shared" si="1"/>
        <v>0.85</v>
      </c>
      <c r="K9" s="3">
        <f t="shared" si="2"/>
        <v>0</v>
      </c>
      <c r="M9" s="3" t="b">
        <f t="shared" si="3"/>
        <v>1</v>
      </c>
    </row>
    <row r="10" spans="1:13" x14ac:dyDescent="0.3">
      <c r="A10" s="2" t="s">
        <v>20</v>
      </c>
      <c r="B10" s="2" t="s">
        <v>21</v>
      </c>
      <c r="C10">
        <v>6</v>
      </c>
      <c r="D10">
        <v>6</v>
      </c>
      <c r="E10">
        <v>100</v>
      </c>
      <c r="F10">
        <v>1</v>
      </c>
      <c r="H10" s="3">
        <f t="shared" si="0"/>
        <v>0.6</v>
      </c>
      <c r="I10" s="3">
        <f t="shared" si="0"/>
        <v>0.3</v>
      </c>
      <c r="J10" s="3">
        <f t="shared" si="1"/>
        <v>1</v>
      </c>
      <c r="K10" s="3">
        <f t="shared" si="2"/>
        <v>1</v>
      </c>
      <c r="M10" s="3" t="b">
        <f t="shared" si="3"/>
        <v>1</v>
      </c>
    </row>
    <row r="11" spans="1:13" x14ac:dyDescent="0.3">
      <c r="A11" s="2" t="s">
        <v>22</v>
      </c>
      <c r="B11" s="2" t="s">
        <v>23</v>
      </c>
      <c r="C11">
        <v>8</v>
      </c>
      <c r="D11">
        <v>14</v>
      </c>
      <c r="E11">
        <v>89</v>
      </c>
      <c r="F11">
        <v>0</v>
      </c>
      <c r="H11" s="3">
        <f t="shared" si="0"/>
        <v>0.8</v>
      </c>
      <c r="I11" s="3">
        <f t="shared" si="0"/>
        <v>0.7</v>
      </c>
      <c r="J11" s="3">
        <f t="shared" si="1"/>
        <v>0.89</v>
      </c>
      <c r="K11" s="3">
        <f t="shared" si="2"/>
        <v>0</v>
      </c>
      <c r="M11" s="3" t="b">
        <f t="shared" si="3"/>
        <v>1</v>
      </c>
    </row>
    <row r="12" spans="1:13" x14ac:dyDescent="0.3">
      <c r="A12" s="2" t="s">
        <v>24</v>
      </c>
      <c r="B12" s="2" t="s">
        <v>25</v>
      </c>
      <c r="C12">
        <v>10</v>
      </c>
      <c r="D12">
        <v>20</v>
      </c>
      <c r="E12">
        <v>83</v>
      </c>
      <c r="F12">
        <v>1</v>
      </c>
      <c r="H12" s="3">
        <f t="shared" si="0"/>
        <v>1</v>
      </c>
      <c r="I12" s="3">
        <f t="shared" si="0"/>
        <v>1</v>
      </c>
      <c r="J12" s="3">
        <f t="shared" si="1"/>
        <v>0.83</v>
      </c>
      <c r="K12" s="3">
        <f t="shared" si="2"/>
        <v>1</v>
      </c>
      <c r="M12" s="3" t="b">
        <f t="shared" si="3"/>
        <v>0</v>
      </c>
    </row>
    <row r="13" spans="1:13" x14ac:dyDescent="0.3">
      <c r="A13" s="2" t="s">
        <v>26</v>
      </c>
      <c r="B13" s="2" t="s">
        <v>27</v>
      </c>
      <c r="C13">
        <v>5</v>
      </c>
      <c r="D13">
        <v>11</v>
      </c>
      <c r="E13">
        <v>96</v>
      </c>
      <c r="F13">
        <v>1</v>
      </c>
      <c r="H13" s="3">
        <f t="shared" si="0"/>
        <v>0.5</v>
      </c>
      <c r="I13" s="3">
        <f t="shared" si="0"/>
        <v>0.55000000000000004</v>
      </c>
      <c r="J13" s="3">
        <f t="shared" si="1"/>
        <v>0.96</v>
      </c>
      <c r="K13" s="3">
        <f t="shared" si="2"/>
        <v>1</v>
      </c>
      <c r="M13" s="3" t="b">
        <f t="shared" si="3"/>
        <v>0</v>
      </c>
    </row>
    <row r="14" spans="1:13" x14ac:dyDescent="0.3">
      <c r="A14" s="2" t="s">
        <v>28</v>
      </c>
      <c r="B14" s="2" t="s">
        <v>29</v>
      </c>
      <c r="C14">
        <v>7</v>
      </c>
      <c r="D14">
        <v>8</v>
      </c>
      <c r="E14">
        <v>90</v>
      </c>
      <c r="F14">
        <v>0</v>
      </c>
      <c r="H14" s="3">
        <f t="shared" si="0"/>
        <v>0.7</v>
      </c>
      <c r="I14" s="3">
        <f t="shared" si="0"/>
        <v>0.4</v>
      </c>
      <c r="J14" s="3">
        <f t="shared" si="1"/>
        <v>0.9</v>
      </c>
      <c r="K14" s="3">
        <f t="shared" si="2"/>
        <v>0</v>
      </c>
      <c r="M14" s="3" t="b">
        <f t="shared" si="3"/>
        <v>1</v>
      </c>
    </row>
    <row r="15" spans="1:13" x14ac:dyDescent="0.3">
      <c r="A15" s="2" t="s">
        <v>30</v>
      </c>
      <c r="B15" s="2" t="s">
        <v>31</v>
      </c>
      <c r="C15">
        <v>9</v>
      </c>
      <c r="D15">
        <v>16</v>
      </c>
      <c r="E15">
        <v>82</v>
      </c>
      <c r="F15">
        <v>1</v>
      </c>
      <c r="H15" s="3">
        <f t="shared" si="0"/>
        <v>0.9</v>
      </c>
      <c r="I15" s="3">
        <f t="shared" si="0"/>
        <v>0.8</v>
      </c>
      <c r="J15" s="3">
        <f t="shared" si="1"/>
        <v>0.82</v>
      </c>
      <c r="K15" s="3">
        <f t="shared" si="2"/>
        <v>1</v>
      </c>
      <c r="M15" s="3" t="b">
        <f t="shared" si="3"/>
        <v>0</v>
      </c>
    </row>
    <row r="16" spans="1:13" x14ac:dyDescent="0.3">
      <c r="A16" s="2" t="s">
        <v>32</v>
      </c>
      <c r="B16" s="2" t="s">
        <v>33</v>
      </c>
      <c r="C16">
        <v>6</v>
      </c>
      <c r="D16">
        <v>13</v>
      </c>
      <c r="E16">
        <v>98</v>
      </c>
      <c r="F16">
        <v>0</v>
      </c>
      <c r="H16" s="3">
        <f t="shared" si="0"/>
        <v>0.6</v>
      </c>
      <c r="I16" s="3">
        <f t="shared" si="0"/>
        <v>0.65</v>
      </c>
      <c r="J16" s="3">
        <f t="shared" si="1"/>
        <v>0.98</v>
      </c>
      <c r="K16" s="3">
        <f t="shared" si="2"/>
        <v>0</v>
      </c>
      <c r="M16" s="3" t="b">
        <f t="shared" si="3"/>
        <v>1</v>
      </c>
    </row>
    <row r="17" spans="1:13" x14ac:dyDescent="0.3">
      <c r="A17" s="2" t="s">
        <v>34</v>
      </c>
      <c r="B17" s="2" t="s">
        <v>35</v>
      </c>
      <c r="C17">
        <v>8</v>
      </c>
      <c r="D17">
        <v>5</v>
      </c>
      <c r="E17">
        <v>84</v>
      </c>
      <c r="F17">
        <v>0</v>
      </c>
      <c r="H17" s="3">
        <f t="shared" si="0"/>
        <v>0.8</v>
      </c>
      <c r="I17" s="3">
        <f t="shared" si="0"/>
        <v>0.25</v>
      </c>
      <c r="J17" s="3">
        <f t="shared" si="1"/>
        <v>0.84</v>
      </c>
      <c r="K17" s="3">
        <f t="shared" si="2"/>
        <v>0</v>
      </c>
      <c r="M17" s="3" t="b">
        <f t="shared" si="3"/>
        <v>1</v>
      </c>
    </row>
    <row r="18" spans="1:13" x14ac:dyDescent="0.3">
      <c r="A18" s="2" t="s">
        <v>36</v>
      </c>
      <c r="B18" s="2" t="s">
        <v>37</v>
      </c>
      <c r="C18">
        <v>5</v>
      </c>
      <c r="D18">
        <v>17</v>
      </c>
      <c r="E18">
        <v>91</v>
      </c>
      <c r="F18">
        <v>1</v>
      </c>
      <c r="H18" s="3">
        <f t="shared" si="0"/>
        <v>0.5</v>
      </c>
      <c r="I18" s="3">
        <f t="shared" si="0"/>
        <v>0.85</v>
      </c>
      <c r="J18" s="3">
        <f t="shared" si="1"/>
        <v>0.91</v>
      </c>
      <c r="K18" s="3">
        <f t="shared" si="2"/>
        <v>1</v>
      </c>
      <c r="M18" s="3" t="b">
        <f t="shared" si="3"/>
        <v>0</v>
      </c>
    </row>
    <row r="19" spans="1:13" x14ac:dyDescent="0.3">
      <c r="A19" s="2" t="s">
        <v>38</v>
      </c>
      <c r="B19" s="2" t="s">
        <v>39</v>
      </c>
      <c r="C19">
        <v>10</v>
      </c>
      <c r="D19">
        <v>10</v>
      </c>
      <c r="E19">
        <v>97</v>
      </c>
      <c r="F19">
        <v>1</v>
      </c>
      <c r="H19" s="3">
        <f t="shared" si="0"/>
        <v>1</v>
      </c>
      <c r="I19" s="3">
        <f t="shared" si="0"/>
        <v>0.5</v>
      </c>
      <c r="J19" s="3">
        <f t="shared" si="1"/>
        <v>0.97</v>
      </c>
      <c r="K19" s="3">
        <f t="shared" si="2"/>
        <v>1</v>
      </c>
      <c r="M19" s="3" t="b">
        <f t="shared" si="3"/>
        <v>0</v>
      </c>
    </row>
    <row r="20" spans="1:13" x14ac:dyDescent="0.3">
      <c r="A20" s="2" t="s">
        <v>40</v>
      </c>
      <c r="B20" s="2" t="s">
        <v>41</v>
      </c>
      <c r="C20">
        <v>7</v>
      </c>
      <c r="D20">
        <v>19</v>
      </c>
      <c r="E20">
        <v>88</v>
      </c>
      <c r="F20">
        <v>0</v>
      </c>
      <c r="H20" s="3">
        <f t="shared" si="0"/>
        <v>0.7</v>
      </c>
      <c r="I20" s="3">
        <f t="shared" si="0"/>
        <v>0.95</v>
      </c>
      <c r="J20" s="3">
        <f t="shared" si="1"/>
        <v>0.88</v>
      </c>
      <c r="K20" s="3">
        <f t="shared" si="2"/>
        <v>0</v>
      </c>
      <c r="M20" s="3" t="b">
        <f t="shared" si="3"/>
        <v>1</v>
      </c>
    </row>
    <row r="21" spans="1:13" x14ac:dyDescent="0.3">
      <c r="A21" s="2" t="s">
        <v>42</v>
      </c>
      <c r="B21" s="2" t="s">
        <v>43</v>
      </c>
      <c r="C21">
        <v>9</v>
      </c>
      <c r="D21">
        <v>7</v>
      </c>
      <c r="E21">
        <v>95</v>
      </c>
      <c r="F21">
        <v>1</v>
      </c>
      <c r="H21" s="3">
        <f t="shared" si="0"/>
        <v>0.9</v>
      </c>
      <c r="I21" s="3">
        <f t="shared" si="0"/>
        <v>0.35</v>
      </c>
      <c r="J21" s="3">
        <f t="shared" si="1"/>
        <v>0.95</v>
      </c>
      <c r="K21" s="3">
        <f t="shared" si="2"/>
        <v>1</v>
      </c>
      <c r="M21" s="3" t="b">
        <f t="shared" si="3"/>
        <v>1</v>
      </c>
    </row>
    <row r="22" spans="1:13" x14ac:dyDescent="0.3">
      <c r="A22" s="2" t="s">
        <v>44</v>
      </c>
      <c r="B22" s="2" t="s">
        <v>45</v>
      </c>
      <c r="C22">
        <v>6</v>
      </c>
      <c r="D22">
        <v>15</v>
      </c>
      <c r="E22">
        <v>86</v>
      </c>
      <c r="F22">
        <v>0</v>
      </c>
      <c r="H22" s="3">
        <f t="shared" si="0"/>
        <v>0.6</v>
      </c>
      <c r="I22" s="3">
        <f t="shared" si="0"/>
        <v>0.75</v>
      </c>
      <c r="J22" s="3">
        <f t="shared" si="1"/>
        <v>0.86</v>
      </c>
      <c r="K22" s="3">
        <f t="shared" si="2"/>
        <v>0</v>
      </c>
      <c r="M22" s="3" t="b">
        <f t="shared" si="3"/>
        <v>1</v>
      </c>
    </row>
    <row r="23" spans="1:13" x14ac:dyDescent="0.3">
      <c r="A23" s="2" t="s">
        <v>46</v>
      </c>
      <c r="B23" s="2" t="s">
        <v>47</v>
      </c>
      <c r="C23">
        <v>8</v>
      </c>
      <c r="D23">
        <v>12</v>
      </c>
      <c r="E23">
        <v>93</v>
      </c>
      <c r="F23">
        <v>1</v>
      </c>
      <c r="H23" s="3">
        <f t="shared" si="0"/>
        <v>0.8</v>
      </c>
      <c r="I23" s="3">
        <f t="shared" si="0"/>
        <v>0.6</v>
      </c>
      <c r="J23" s="3">
        <f t="shared" si="1"/>
        <v>0.93</v>
      </c>
      <c r="K23" s="3">
        <f t="shared" si="2"/>
        <v>1</v>
      </c>
      <c r="M23" s="3" t="b">
        <f t="shared" si="3"/>
        <v>0</v>
      </c>
    </row>
    <row r="26" spans="1:13" x14ac:dyDescent="0.3">
      <c r="A26" s="2" t="s">
        <v>49</v>
      </c>
      <c r="C26">
        <f>MAX(C4:C23)</f>
        <v>10</v>
      </c>
      <c r="D26">
        <f t="shared" ref="D26:F26" si="4">MAX(D4:D23)</f>
        <v>20</v>
      </c>
      <c r="E26">
        <f t="shared" si="4"/>
        <v>100</v>
      </c>
      <c r="F26">
        <f t="shared" si="4"/>
        <v>1</v>
      </c>
      <c r="H26" s="3">
        <f>MAX(H4:H23)</f>
        <v>1</v>
      </c>
      <c r="I26" s="3">
        <f t="shared" ref="I26:K26" si="5">MAX(I4:I23)</f>
        <v>1</v>
      </c>
      <c r="J26" s="3">
        <f t="shared" si="5"/>
        <v>1</v>
      </c>
      <c r="K26" s="3">
        <f t="shared" si="5"/>
        <v>1</v>
      </c>
    </row>
    <row r="27" spans="1:13" x14ac:dyDescent="0.3">
      <c r="A27" s="2" t="s">
        <v>50</v>
      </c>
      <c r="C27">
        <f>MIN(C4:C23)</f>
        <v>5</v>
      </c>
      <c r="D27">
        <f t="shared" ref="D27:F27" si="6">MIN(D4:D23)</f>
        <v>5</v>
      </c>
      <c r="E27">
        <f t="shared" si="6"/>
        <v>81</v>
      </c>
      <c r="F27">
        <f t="shared" si="6"/>
        <v>0</v>
      </c>
      <c r="H27" s="3">
        <f>MIN(H4:H23)</f>
        <v>0.5</v>
      </c>
      <c r="I27" s="3">
        <f t="shared" ref="I27:K27" si="7">MIN(I4:I23)</f>
        <v>0.25</v>
      </c>
      <c r="J27" s="3">
        <f t="shared" si="7"/>
        <v>0.81</v>
      </c>
      <c r="K27" s="3">
        <f t="shared" si="7"/>
        <v>0</v>
      </c>
    </row>
    <row r="28" spans="1:13" x14ac:dyDescent="0.3">
      <c r="A28" s="2" t="s">
        <v>51</v>
      </c>
      <c r="C28" s="4">
        <f>AVERAGE(C4:C23)</f>
        <v>7.45</v>
      </c>
      <c r="D28" s="4">
        <f t="shared" ref="D28:F28" si="8">AVERAGE(D4:D23)</f>
        <v>12.65</v>
      </c>
      <c r="E28" s="4">
        <f t="shared" si="8"/>
        <v>90.5</v>
      </c>
      <c r="F28" s="4">
        <f t="shared" si="8"/>
        <v>0.55000000000000004</v>
      </c>
      <c r="H28" s="3">
        <f>AVERAGE(H4:H23)</f>
        <v>0.745</v>
      </c>
      <c r="I28" s="3">
        <f t="shared" ref="I28:K28" si="9">AVERAGE(I4:I23)</f>
        <v>0.63249999999999995</v>
      </c>
      <c r="J28" s="3">
        <f t="shared" si="9"/>
        <v>0.90500000000000003</v>
      </c>
      <c r="K28" s="3">
        <f t="shared" si="9"/>
        <v>0.55000000000000004</v>
      </c>
    </row>
  </sheetData>
  <conditionalFormatting sqref="C4:C23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D4:D23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E4:E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3TrafficLights2">
        <cfvo type="percent" val="0"/>
        <cfvo type="percent" val="33"/>
        <cfvo type="percent" val="67"/>
      </iconSet>
    </cfRule>
  </conditionalFormatting>
  <conditionalFormatting sqref="H4:K23 M4:M23">
    <cfRule type="cellIs" dxfId="1" priority="2" operator="lessThan">
      <formula>0.5</formula>
    </cfRule>
  </conditionalFormatting>
  <conditionalFormatting sqref="M4:M23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SANJAY</dc:creator>
  <cp:lastModifiedBy>A SANJAY</cp:lastModifiedBy>
  <dcterms:created xsi:type="dcterms:W3CDTF">2026-07-18T18:37:08Z</dcterms:created>
  <dcterms:modified xsi:type="dcterms:W3CDTF">2026-07-18T22:45:59Z</dcterms:modified>
</cp:coreProperties>
</file>