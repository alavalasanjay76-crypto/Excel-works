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\Documents\"/>
    </mc:Choice>
  </mc:AlternateContent>
  <xr:revisionPtr revIDLastSave="0" documentId="13_ncr:1_{0C1EB880-DB34-49D9-9040-3101E67A8AC3}" xr6:coauthVersionLast="47" xr6:coauthVersionMax="47" xr10:uidLastSave="{00000000-0000-0000-0000-000000000000}"/>
  <bookViews>
    <workbookView xWindow="-108" yWindow="-108" windowWidth="23256" windowHeight="13896" xr2:uid="{702AC81A-2AC6-4239-BE96-EF0EBF1A6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" i="1" l="1"/>
  <c r="AC26" i="1"/>
  <c r="AC25" i="1"/>
  <c r="AC2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4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X25" i="1"/>
  <c r="X26" i="1"/>
  <c r="X27" i="1"/>
  <c r="X24" i="1"/>
  <c r="AB4" i="1"/>
  <c r="AA4" i="1"/>
  <c r="Z4" i="1"/>
  <c r="Y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4" i="1"/>
  <c r="Z3" i="1"/>
  <c r="AA3" i="1"/>
  <c r="AB3" i="1"/>
  <c r="Y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S25" i="1"/>
  <c r="S26" i="1"/>
  <c r="S27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N25" i="1"/>
  <c r="N26" i="1"/>
  <c r="N27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4" i="1"/>
  <c r="P7" i="1"/>
  <c r="O4" i="1"/>
  <c r="P4" i="1"/>
  <c r="Q4" i="1"/>
  <c r="R4" i="1"/>
  <c r="O5" i="1"/>
  <c r="P5" i="1"/>
  <c r="Q5" i="1"/>
  <c r="R5" i="1"/>
  <c r="O6" i="1"/>
  <c r="P6" i="1"/>
  <c r="Q6" i="1"/>
  <c r="R6" i="1"/>
  <c r="O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4" i="1"/>
  <c r="U3" i="1"/>
  <c r="V3" i="1"/>
  <c r="W3" i="1"/>
  <c r="T3" i="1"/>
  <c r="P3" i="1"/>
  <c r="Q3" i="1" s="1"/>
  <c r="R3" i="1" s="1"/>
  <c r="O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4" i="1"/>
  <c r="J3" i="1"/>
  <c r="K3" i="1" s="1"/>
  <c r="L3" i="1" s="1"/>
  <c r="M3" i="1" s="1"/>
  <c r="E3" i="1"/>
  <c r="F3" i="1" s="1"/>
  <c r="G3" i="1" s="1"/>
  <c r="H3" i="1" s="1"/>
  <c r="C25" i="1"/>
  <c r="C26" i="1"/>
  <c r="C27" i="1"/>
  <c r="C24" i="1"/>
  <c r="N24" i="1" l="1"/>
  <c r="S24" i="1"/>
</calcChain>
</file>

<file path=xl/sharedStrings.xml><?xml version="1.0" encoding="utf-8"?>
<sst xmlns="http://schemas.openxmlformats.org/spreadsheetml/2006/main" count="54" uniqueCount="54">
  <si>
    <t>Employee payroll</t>
  </si>
  <si>
    <t>First_name</t>
  </si>
  <si>
    <t>Last_name</t>
  </si>
  <si>
    <t>pay</t>
  </si>
  <si>
    <t>Aarav</t>
  </si>
  <si>
    <t>Sharma</t>
  </si>
  <si>
    <t>Priya</t>
  </si>
  <si>
    <t>Reddy</t>
  </si>
  <si>
    <t>Rahul</t>
  </si>
  <si>
    <t>Verma</t>
  </si>
  <si>
    <t>Ananya</t>
  </si>
  <si>
    <t>Gupta</t>
  </si>
  <si>
    <t>Vikram</t>
  </si>
  <si>
    <t>Singh</t>
  </si>
  <si>
    <t>Sneha</t>
  </si>
  <si>
    <t>Patel</t>
  </si>
  <si>
    <t>Arjun</t>
  </si>
  <si>
    <t>Mehta</t>
  </si>
  <si>
    <t>Kavya</t>
  </si>
  <si>
    <t>Nair</t>
  </si>
  <si>
    <t>Rohit</t>
  </si>
  <si>
    <t>Kumar</t>
  </si>
  <si>
    <t>Neha</t>
  </si>
  <si>
    <t>Joshi</t>
  </si>
  <si>
    <t>Aditya</t>
  </si>
  <si>
    <t>Rao</t>
  </si>
  <si>
    <t>Meera</t>
  </si>
  <si>
    <t>Iyer</t>
  </si>
  <si>
    <t>Karan</t>
  </si>
  <si>
    <t>Malhotra</t>
  </si>
  <si>
    <t>Divya</t>
  </si>
  <si>
    <t>Menon</t>
  </si>
  <si>
    <t>Siddharth</t>
  </si>
  <si>
    <t>Das</t>
  </si>
  <si>
    <t>Pooja</t>
  </si>
  <si>
    <t>Mishra</t>
  </si>
  <si>
    <t>Nikhil</t>
  </si>
  <si>
    <t>Choudhary</t>
  </si>
  <si>
    <t>Aisha</t>
  </si>
  <si>
    <t>Khan</t>
  </si>
  <si>
    <t>Rohan</t>
  </si>
  <si>
    <t>kapoor</t>
  </si>
  <si>
    <t>Min</t>
  </si>
  <si>
    <t>Max</t>
  </si>
  <si>
    <t>Avg</t>
  </si>
  <si>
    <t>Total</t>
  </si>
  <si>
    <t>over_time</t>
  </si>
  <si>
    <t>overtime_bonus</t>
  </si>
  <si>
    <t>total_pay</t>
  </si>
  <si>
    <t>hourly_wage</t>
  </si>
  <si>
    <t>hours_worked</t>
  </si>
  <si>
    <t>jan-pay</t>
  </si>
  <si>
    <t>month</t>
  </si>
  <si>
    <t>A.SANJAY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</si>
</sst>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.00_ ;_ [$₹-4009]\ * \-#,##0.00_ ;_ [$₹-4009]\ * &quot;-&quot;??_ ;_ @_ "/>
    <numFmt numFmtId="165" formatCode="_ [$₹-4009]\ * #,##0.0_ ;_ [$₹-4009]\ * \-#,##0.0_ ;_ [$₹-4009]\ * &quot;-&quot;??_ ;_ @_ "/>
    <numFmt numFmtId="166" formatCode="_ [$₹-4009]\ * #,##0_ ;_ [$₹-4009]\ * \-#,##0_ ;_ [$₹-4009]\ * &quot;-&quot;??_ ;_ @_ "/>
    <numFmt numFmtId="167" formatCode="_ [$₹-4009]\ * #,##0.000_ ;_ [$₹-4009]\ * \-#,##0.000_ ;_ [$₹-4009]\ * &quot;-&quot;??_ ;_ @_ "/>
  </numFmts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" fontId="0" fillId="2" borderId="0" xfId="0" applyNumberFormat="1" applyFill="1"/>
    <xf numFmtId="0" fontId="0" fillId="3" borderId="0" xfId="0" applyFill="1"/>
    <xf numFmtId="16" fontId="0" fillId="3" borderId="0" xfId="0" applyNumberFormat="1" applyFill="1"/>
    <xf numFmtId="0" fontId="0" fillId="4" borderId="0" xfId="0" applyFill="1"/>
    <xf numFmtId="16" fontId="0" fillId="4" borderId="0" xfId="0" applyNumberFormat="1" applyFill="1"/>
    <xf numFmtId="166" fontId="0" fillId="4" borderId="0" xfId="0" applyNumberFormat="1" applyFill="1"/>
    <xf numFmtId="0" fontId="0" fillId="5" borderId="0" xfId="0" applyFill="1"/>
    <xf numFmtId="16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16" fontId="0" fillId="6" borderId="0" xfId="0" applyNumberFormat="1" applyFill="1"/>
    <xf numFmtId="166" fontId="0" fillId="6" borderId="0" xfId="0" applyNumberFormat="1" applyFill="1"/>
    <xf numFmtId="167" fontId="0" fillId="0" borderId="0" xfId="0" applyNumberFormat="1"/>
    <xf numFmtId="0" fontId="0" fillId="7" borderId="0" xfId="0" applyFill="1"/>
    <xf numFmtId="166" fontId="0" fillId="7" borderId="0" xfId="0" applyNumberFormat="1" applyFill="1"/>
    <xf numFmtId="166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2729-00BE-4DF5-BF69-29393A475A72}">
  <dimension ref="A1:AC27"/>
  <sheetViews>
    <sheetView tabSelected="1" workbookViewId="0">
      <selection activeCell="D1" sqref="D1"/>
    </sheetView>
  </sheetViews>
  <sheetFormatPr defaultRowHeight="14.4" x14ac:dyDescent="0.3"/>
  <cols>
    <col min="1" max="2" width="9.88671875" customWidth="1"/>
    <col min="3" max="3" width="12.21875" customWidth="1"/>
    <col min="4" max="8" width="12.77734375" customWidth="1"/>
    <col min="9" max="13" width="12.21875" customWidth="1"/>
    <col min="14" max="18" width="12.5546875" customWidth="1"/>
    <col min="19" max="23" width="13.5546875" customWidth="1"/>
    <col min="24" max="27" width="12" customWidth="1"/>
    <col min="28" max="28" width="12.6640625" customWidth="1"/>
    <col min="29" max="29" width="12.33203125" customWidth="1"/>
  </cols>
  <sheetData>
    <row r="1" spans="1:29" ht="13.8" customHeight="1" x14ac:dyDescent="0.3">
      <c r="A1" t="s">
        <v>0</v>
      </c>
      <c r="D1" t="s">
        <v>53</v>
      </c>
    </row>
    <row r="2" spans="1:29" ht="12.6" customHeight="1" x14ac:dyDescent="0.3">
      <c r="D2" s="4" t="s">
        <v>50</v>
      </c>
      <c r="E2" s="4"/>
      <c r="F2" s="4"/>
      <c r="G2" s="4"/>
      <c r="H2" s="5"/>
      <c r="I2" s="7" t="s">
        <v>46</v>
      </c>
      <c r="J2" s="7"/>
      <c r="K2" s="7"/>
      <c r="L2" s="7"/>
      <c r="M2" s="7"/>
      <c r="N2" s="9" t="s">
        <v>3</v>
      </c>
      <c r="O2" s="9"/>
      <c r="P2" s="9"/>
      <c r="Q2" s="9"/>
      <c r="R2" s="9"/>
      <c r="S2" s="12" t="s">
        <v>47</v>
      </c>
      <c r="T2" s="12"/>
      <c r="U2" s="12"/>
      <c r="V2" s="12"/>
      <c r="W2" s="12"/>
      <c r="X2" s="15" t="s">
        <v>48</v>
      </c>
      <c r="Y2" s="15"/>
      <c r="Z2" s="15"/>
      <c r="AA2" s="15"/>
      <c r="AB2" s="15"/>
      <c r="AC2" s="19" t="s">
        <v>52</v>
      </c>
    </row>
    <row r="3" spans="1:29" ht="13.2" customHeight="1" x14ac:dyDescent="0.3">
      <c r="A3" t="s">
        <v>1</v>
      </c>
      <c r="B3" t="s">
        <v>2</v>
      </c>
      <c r="C3" t="s">
        <v>49</v>
      </c>
      <c r="D3" s="6">
        <v>46023</v>
      </c>
      <c r="E3" s="6">
        <f>D3+7</f>
        <v>46030</v>
      </c>
      <c r="F3" s="6">
        <f t="shared" ref="F3" si="0">E3+7</f>
        <v>46037</v>
      </c>
      <c r="G3" s="6">
        <f>F3+7</f>
        <v>46044</v>
      </c>
      <c r="H3" s="6">
        <f>G3+7</f>
        <v>46051</v>
      </c>
      <c r="I3" s="8">
        <v>46023</v>
      </c>
      <c r="J3" s="8">
        <f>I3+7</f>
        <v>46030</v>
      </c>
      <c r="K3" s="8">
        <f t="shared" ref="K3:L3" si="1">J3+7</f>
        <v>46037</v>
      </c>
      <c r="L3" s="8">
        <f t="shared" si="1"/>
        <v>46044</v>
      </c>
      <c r="M3" s="8">
        <f>L3+7</f>
        <v>46051</v>
      </c>
      <c r="N3" s="10">
        <v>46023</v>
      </c>
      <c r="O3" s="10">
        <f>N3+7</f>
        <v>46030</v>
      </c>
      <c r="P3" s="10">
        <f t="shared" ref="P3:R3" si="2">O3+7</f>
        <v>46037</v>
      </c>
      <c r="Q3" s="10">
        <f t="shared" si="2"/>
        <v>46044</v>
      </c>
      <c r="R3" s="10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16">
        <v>46023</v>
      </c>
      <c r="Y3" s="16">
        <f>X3+7</f>
        <v>46030</v>
      </c>
      <c r="Z3" s="16">
        <f t="shared" ref="Z3:AB3" si="4">Y3+7</f>
        <v>46037</v>
      </c>
      <c r="AA3" s="16">
        <f t="shared" si="4"/>
        <v>46044</v>
      </c>
      <c r="AB3" s="16">
        <f t="shared" si="4"/>
        <v>46051</v>
      </c>
      <c r="AC3" s="19" t="s">
        <v>51</v>
      </c>
    </row>
    <row r="4" spans="1:29" x14ac:dyDescent="0.3">
      <c r="A4" t="s">
        <v>4</v>
      </c>
      <c r="B4" t="s">
        <v>5</v>
      </c>
      <c r="C4" s="1">
        <v>22</v>
      </c>
      <c r="D4" s="4">
        <v>32</v>
      </c>
      <c r="E4" s="4">
        <v>32</v>
      </c>
      <c r="F4" s="4">
        <v>30</v>
      </c>
      <c r="G4" s="4">
        <v>35</v>
      </c>
      <c r="H4" s="4">
        <v>28</v>
      </c>
      <c r="I4" s="7">
        <f>IF(D4&gt;=30,D4-30,0)</f>
        <v>2</v>
      </c>
      <c r="J4" s="7">
        <f>IF(E4&gt;=30,E4-30,0)</f>
        <v>2</v>
      </c>
      <c r="K4" s="7">
        <f>IF(F4&gt;=30,F4-30,0)</f>
        <v>0</v>
      </c>
      <c r="L4" s="7">
        <f>IF(G4&gt;=30,G4-30,0)</f>
        <v>5</v>
      </c>
      <c r="M4" s="7">
        <f>IF(H4&gt;=30,H4-30,0)</f>
        <v>0</v>
      </c>
      <c r="N4" s="11">
        <f>$C4*D4</f>
        <v>704</v>
      </c>
      <c r="O4" s="11">
        <f t="shared" ref="O4:R19" si="5">$C4*E4</f>
        <v>704</v>
      </c>
      <c r="P4" s="11">
        <f t="shared" si="5"/>
        <v>660</v>
      </c>
      <c r="Q4" s="11">
        <f t="shared" si="5"/>
        <v>770</v>
      </c>
      <c r="R4" s="11">
        <f t="shared" si="5"/>
        <v>616</v>
      </c>
      <c r="S4" s="14">
        <f>0.5*$C4*I4</f>
        <v>22</v>
      </c>
      <c r="T4" s="14">
        <f t="shared" ref="T4:W19" si="6">0.5*$C4*J4</f>
        <v>22</v>
      </c>
      <c r="U4" s="14">
        <f t="shared" si="6"/>
        <v>0</v>
      </c>
      <c r="V4" s="14">
        <f t="shared" si="6"/>
        <v>55</v>
      </c>
      <c r="W4" s="14">
        <f t="shared" si="6"/>
        <v>0</v>
      </c>
      <c r="X4" s="17">
        <f>SUM(N4+S4)</f>
        <v>726</v>
      </c>
      <c r="Y4" s="17">
        <f t="shared" ref="Y4:AB19" si="7">SUM(O4+T4)</f>
        <v>726</v>
      </c>
      <c r="Z4" s="17">
        <f>SUM(P4+U4)</f>
        <v>660</v>
      </c>
      <c r="AA4" s="17">
        <f>SUM(Q4+V4)</f>
        <v>825</v>
      </c>
      <c r="AB4" s="17">
        <f>SUM(R4+W4)</f>
        <v>616</v>
      </c>
      <c r="AC4" s="20">
        <f>SUM(X4:AB4)</f>
        <v>3553</v>
      </c>
    </row>
    <row r="5" spans="1:29" x14ac:dyDescent="0.3">
      <c r="A5" t="s">
        <v>6</v>
      </c>
      <c r="B5" t="s">
        <v>7</v>
      </c>
      <c r="C5" s="1">
        <v>44</v>
      </c>
      <c r="D5" s="4">
        <v>27</v>
      </c>
      <c r="E5" s="4">
        <v>38</v>
      </c>
      <c r="F5" s="4">
        <v>27</v>
      </c>
      <c r="G5" s="4">
        <v>34</v>
      </c>
      <c r="H5" s="4">
        <v>34</v>
      </c>
      <c r="I5" s="7">
        <f t="shared" ref="I5:M22" si="8">IF(D5&gt;=30,D5-30,0)</f>
        <v>0</v>
      </c>
      <c r="J5" s="7">
        <f t="shared" ref="J5:J22" si="9">IF(E5&gt;=30,E5-30,0)</f>
        <v>8</v>
      </c>
      <c r="K5" s="7">
        <f t="shared" si="8"/>
        <v>0</v>
      </c>
      <c r="L5" s="7">
        <f t="shared" si="8"/>
        <v>4</v>
      </c>
      <c r="M5" s="7">
        <f t="shared" si="8"/>
        <v>4</v>
      </c>
      <c r="N5" s="11">
        <f t="shared" ref="N5:N22" si="10">$C5*D5</f>
        <v>1188</v>
      </c>
      <c r="O5" s="11">
        <f t="shared" si="5"/>
        <v>1672</v>
      </c>
      <c r="P5" s="11">
        <f t="shared" si="5"/>
        <v>1188</v>
      </c>
      <c r="Q5" s="11">
        <f t="shared" si="5"/>
        <v>1496</v>
      </c>
      <c r="R5" s="11">
        <f t="shared" si="5"/>
        <v>1496</v>
      </c>
      <c r="S5" s="14">
        <f t="shared" ref="S5:S22" si="11">0.5*$C5*I5</f>
        <v>0</v>
      </c>
      <c r="T5" s="14">
        <f t="shared" si="6"/>
        <v>176</v>
      </c>
      <c r="U5" s="14">
        <f t="shared" si="6"/>
        <v>0</v>
      </c>
      <c r="V5" s="14">
        <f t="shared" si="6"/>
        <v>88</v>
      </c>
      <c r="W5" s="14">
        <f t="shared" si="6"/>
        <v>88</v>
      </c>
      <c r="X5" s="17">
        <f t="shared" ref="X5:X22" si="12">SUM(N5+S5)</f>
        <v>1188</v>
      </c>
      <c r="Y5" s="17">
        <f t="shared" si="7"/>
        <v>1848</v>
      </c>
      <c r="Z5" s="17">
        <f t="shared" si="7"/>
        <v>1188</v>
      </c>
      <c r="AA5" s="17">
        <f t="shared" si="7"/>
        <v>1584</v>
      </c>
      <c r="AB5" s="17">
        <f t="shared" si="7"/>
        <v>1584</v>
      </c>
      <c r="AC5" s="20">
        <f t="shared" ref="AC5:AC22" si="13">SUM(X5:AB5)</f>
        <v>7392</v>
      </c>
    </row>
    <row r="6" spans="1:29" x14ac:dyDescent="0.3">
      <c r="A6" t="s">
        <v>8</v>
      </c>
      <c r="B6" t="s">
        <v>9</v>
      </c>
      <c r="C6" s="1">
        <v>32</v>
      </c>
      <c r="D6" s="4">
        <v>39</v>
      </c>
      <c r="E6" s="4">
        <v>26</v>
      </c>
      <c r="F6" s="4">
        <v>35</v>
      </c>
      <c r="G6" s="4">
        <v>31</v>
      </c>
      <c r="H6" s="4">
        <v>31</v>
      </c>
      <c r="I6" s="7">
        <f t="shared" si="8"/>
        <v>9</v>
      </c>
      <c r="J6" s="7">
        <f t="shared" si="9"/>
        <v>0</v>
      </c>
      <c r="K6" s="7">
        <f t="shared" si="8"/>
        <v>5</v>
      </c>
      <c r="L6" s="7">
        <f t="shared" si="8"/>
        <v>1</v>
      </c>
      <c r="M6" s="7">
        <f t="shared" si="8"/>
        <v>1</v>
      </c>
      <c r="N6" s="11">
        <f t="shared" si="10"/>
        <v>1248</v>
      </c>
      <c r="O6" s="11">
        <f t="shared" si="5"/>
        <v>832</v>
      </c>
      <c r="P6" s="11">
        <f t="shared" si="5"/>
        <v>1120</v>
      </c>
      <c r="Q6" s="11">
        <f t="shared" si="5"/>
        <v>992</v>
      </c>
      <c r="R6" s="11">
        <f t="shared" si="5"/>
        <v>992</v>
      </c>
      <c r="S6" s="14">
        <f t="shared" si="11"/>
        <v>144</v>
      </c>
      <c r="T6" s="14">
        <f t="shared" si="6"/>
        <v>0</v>
      </c>
      <c r="U6" s="14">
        <f t="shared" si="6"/>
        <v>80</v>
      </c>
      <c r="V6" s="14">
        <f t="shared" si="6"/>
        <v>16</v>
      </c>
      <c r="W6" s="14">
        <f t="shared" si="6"/>
        <v>16</v>
      </c>
      <c r="X6" s="17">
        <f t="shared" si="12"/>
        <v>1392</v>
      </c>
      <c r="Y6" s="17">
        <f t="shared" si="7"/>
        <v>832</v>
      </c>
      <c r="Z6" s="17">
        <f t="shared" si="7"/>
        <v>1200</v>
      </c>
      <c r="AA6" s="17">
        <f t="shared" si="7"/>
        <v>1008</v>
      </c>
      <c r="AB6" s="17">
        <f t="shared" si="7"/>
        <v>1008</v>
      </c>
      <c r="AC6" s="20">
        <f t="shared" si="13"/>
        <v>5440</v>
      </c>
    </row>
    <row r="7" spans="1:29" x14ac:dyDescent="0.3">
      <c r="A7" t="s">
        <v>10</v>
      </c>
      <c r="B7" t="s">
        <v>11</v>
      </c>
      <c r="C7" s="1">
        <v>33</v>
      </c>
      <c r="D7" s="4">
        <v>35</v>
      </c>
      <c r="E7" s="4">
        <v>34</v>
      </c>
      <c r="F7" s="4">
        <v>38</v>
      </c>
      <c r="G7" s="4">
        <v>39</v>
      </c>
      <c r="H7" s="4">
        <v>44</v>
      </c>
      <c r="I7" s="7">
        <f t="shared" si="8"/>
        <v>5</v>
      </c>
      <c r="J7" s="7">
        <f t="shared" si="9"/>
        <v>4</v>
      </c>
      <c r="K7" s="7">
        <f t="shared" si="8"/>
        <v>8</v>
      </c>
      <c r="L7" s="7">
        <f t="shared" si="8"/>
        <v>9</v>
      </c>
      <c r="M7" s="7">
        <f t="shared" si="8"/>
        <v>14</v>
      </c>
      <c r="N7" s="11">
        <f t="shared" si="10"/>
        <v>1155</v>
      </c>
      <c r="O7" s="11">
        <f t="shared" si="5"/>
        <v>1122</v>
      </c>
      <c r="P7" s="11">
        <f>$C7*F7</f>
        <v>1254</v>
      </c>
      <c r="Q7" s="11">
        <f t="shared" si="5"/>
        <v>1287</v>
      </c>
      <c r="R7" s="11">
        <f t="shared" si="5"/>
        <v>1452</v>
      </c>
      <c r="S7" s="14">
        <f t="shared" si="11"/>
        <v>82.5</v>
      </c>
      <c r="T7" s="14">
        <f t="shared" si="6"/>
        <v>66</v>
      </c>
      <c r="U7" s="14">
        <f t="shared" si="6"/>
        <v>132</v>
      </c>
      <c r="V7" s="14">
        <f t="shared" si="6"/>
        <v>148.5</v>
      </c>
      <c r="W7" s="14">
        <f t="shared" si="6"/>
        <v>231</v>
      </c>
      <c r="X7" s="17">
        <f t="shared" si="12"/>
        <v>1237.5</v>
      </c>
      <c r="Y7" s="17">
        <f t="shared" si="7"/>
        <v>1188</v>
      </c>
      <c r="Z7" s="17">
        <f t="shared" si="7"/>
        <v>1386</v>
      </c>
      <c r="AA7" s="17">
        <f t="shared" si="7"/>
        <v>1435.5</v>
      </c>
      <c r="AB7" s="17">
        <f t="shared" si="7"/>
        <v>1683</v>
      </c>
      <c r="AC7" s="20">
        <f t="shared" si="13"/>
        <v>6930</v>
      </c>
    </row>
    <row r="8" spans="1:29" x14ac:dyDescent="0.3">
      <c r="A8" t="s">
        <v>12</v>
      </c>
      <c r="B8" t="s">
        <v>13</v>
      </c>
      <c r="C8" s="1">
        <v>51</v>
      </c>
      <c r="D8" s="4">
        <v>29</v>
      </c>
      <c r="E8" s="4">
        <v>40</v>
      </c>
      <c r="F8" s="4">
        <v>29</v>
      </c>
      <c r="G8" s="4">
        <v>27</v>
      </c>
      <c r="H8" s="4">
        <v>27</v>
      </c>
      <c r="I8" s="7">
        <f t="shared" si="8"/>
        <v>0</v>
      </c>
      <c r="J8" s="7">
        <f t="shared" si="9"/>
        <v>10</v>
      </c>
      <c r="K8" s="7">
        <f t="shared" si="8"/>
        <v>0</v>
      </c>
      <c r="L8" s="7">
        <f t="shared" si="8"/>
        <v>0</v>
      </c>
      <c r="M8" s="7">
        <f t="shared" si="8"/>
        <v>0</v>
      </c>
      <c r="N8" s="11">
        <f t="shared" si="10"/>
        <v>1479</v>
      </c>
      <c r="O8" s="11">
        <f t="shared" si="5"/>
        <v>2040</v>
      </c>
      <c r="P8" s="11">
        <f t="shared" si="5"/>
        <v>1479</v>
      </c>
      <c r="Q8" s="11">
        <f t="shared" si="5"/>
        <v>1377</v>
      </c>
      <c r="R8" s="11">
        <f t="shared" si="5"/>
        <v>1377</v>
      </c>
      <c r="S8" s="14">
        <f t="shared" si="11"/>
        <v>0</v>
      </c>
      <c r="T8" s="14">
        <f t="shared" si="6"/>
        <v>255</v>
      </c>
      <c r="U8" s="14">
        <f t="shared" si="6"/>
        <v>0</v>
      </c>
      <c r="V8" s="14">
        <f t="shared" si="6"/>
        <v>0</v>
      </c>
      <c r="W8" s="14">
        <f t="shared" si="6"/>
        <v>0</v>
      </c>
      <c r="X8" s="17">
        <f t="shared" si="12"/>
        <v>1479</v>
      </c>
      <c r="Y8" s="17">
        <f t="shared" si="7"/>
        <v>2295</v>
      </c>
      <c r="Z8" s="17">
        <f t="shared" si="7"/>
        <v>1479</v>
      </c>
      <c r="AA8" s="17">
        <f t="shared" si="7"/>
        <v>1377</v>
      </c>
      <c r="AB8" s="17">
        <f t="shared" si="7"/>
        <v>1377</v>
      </c>
      <c r="AC8" s="20">
        <f t="shared" si="13"/>
        <v>8007</v>
      </c>
    </row>
    <row r="9" spans="1:29" x14ac:dyDescent="0.3">
      <c r="A9" t="s">
        <v>14</v>
      </c>
      <c r="B9" t="s">
        <v>15</v>
      </c>
      <c r="C9" s="1">
        <v>25</v>
      </c>
      <c r="D9" s="4">
        <v>31</v>
      </c>
      <c r="E9" s="4">
        <v>30</v>
      </c>
      <c r="F9" s="4">
        <v>33</v>
      </c>
      <c r="G9" s="4">
        <v>36</v>
      </c>
      <c r="H9" s="4">
        <v>36</v>
      </c>
      <c r="I9" s="7">
        <f t="shared" si="8"/>
        <v>1</v>
      </c>
      <c r="J9" s="7">
        <f t="shared" si="9"/>
        <v>0</v>
      </c>
      <c r="K9" s="7">
        <f t="shared" si="8"/>
        <v>3</v>
      </c>
      <c r="L9" s="7">
        <f t="shared" si="8"/>
        <v>6</v>
      </c>
      <c r="M9" s="7">
        <f t="shared" si="8"/>
        <v>6</v>
      </c>
      <c r="N9" s="11">
        <f t="shared" si="10"/>
        <v>775</v>
      </c>
      <c r="O9" s="11">
        <f t="shared" si="5"/>
        <v>750</v>
      </c>
      <c r="P9" s="11">
        <f t="shared" si="5"/>
        <v>825</v>
      </c>
      <c r="Q9" s="11">
        <f t="shared" si="5"/>
        <v>900</v>
      </c>
      <c r="R9" s="11">
        <f t="shared" si="5"/>
        <v>900</v>
      </c>
      <c r="S9" s="14">
        <f t="shared" si="11"/>
        <v>12.5</v>
      </c>
      <c r="T9" s="14">
        <f t="shared" si="6"/>
        <v>0</v>
      </c>
      <c r="U9" s="14">
        <f t="shared" si="6"/>
        <v>37.5</v>
      </c>
      <c r="V9" s="14">
        <f t="shared" si="6"/>
        <v>75</v>
      </c>
      <c r="W9" s="14">
        <f t="shared" si="6"/>
        <v>75</v>
      </c>
      <c r="X9" s="17">
        <f t="shared" si="12"/>
        <v>787.5</v>
      </c>
      <c r="Y9" s="17">
        <f t="shared" si="7"/>
        <v>750</v>
      </c>
      <c r="Z9" s="17">
        <f t="shared" si="7"/>
        <v>862.5</v>
      </c>
      <c r="AA9" s="17">
        <f t="shared" si="7"/>
        <v>975</v>
      </c>
      <c r="AB9" s="17">
        <f t="shared" si="7"/>
        <v>975</v>
      </c>
      <c r="AC9" s="20">
        <f t="shared" si="13"/>
        <v>4350</v>
      </c>
    </row>
    <row r="10" spans="1:29" x14ac:dyDescent="0.3">
      <c r="A10" t="s">
        <v>16</v>
      </c>
      <c r="B10" t="s">
        <v>17</v>
      </c>
      <c r="C10" s="1">
        <v>34</v>
      </c>
      <c r="D10" s="4">
        <v>40</v>
      </c>
      <c r="E10" s="4">
        <v>28</v>
      </c>
      <c r="F10" s="4">
        <v>40</v>
      </c>
      <c r="G10" s="4">
        <v>30</v>
      </c>
      <c r="H10" s="4">
        <v>30</v>
      </c>
      <c r="I10" s="7">
        <f t="shared" si="8"/>
        <v>10</v>
      </c>
      <c r="J10" s="7">
        <f t="shared" si="9"/>
        <v>0</v>
      </c>
      <c r="K10" s="7">
        <f t="shared" si="8"/>
        <v>10</v>
      </c>
      <c r="L10" s="7">
        <f t="shared" si="8"/>
        <v>0</v>
      </c>
      <c r="M10" s="7">
        <f t="shared" si="8"/>
        <v>0</v>
      </c>
      <c r="N10" s="11">
        <f t="shared" si="10"/>
        <v>1360</v>
      </c>
      <c r="O10" s="11">
        <f t="shared" si="5"/>
        <v>952</v>
      </c>
      <c r="P10" s="11">
        <f t="shared" si="5"/>
        <v>1360</v>
      </c>
      <c r="Q10" s="11">
        <f t="shared" si="5"/>
        <v>1020</v>
      </c>
      <c r="R10" s="11">
        <f t="shared" si="5"/>
        <v>1020</v>
      </c>
      <c r="S10" s="14">
        <f t="shared" si="11"/>
        <v>170</v>
      </c>
      <c r="T10" s="14">
        <f t="shared" si="6"/>
        <v>0</v>
      </c>
      <c r="U10" s="14">
        <f t="shared" si="6"/>
        <v>170</v>
      </c>
      <c r="V10" s="14">
        <f t="shared" si="6"/>
        <v>0</v>
      </c>
      <c r="W10" s="14">
        <f t="shared" si="6"/>
        <v>0</v>
      </c>
      <c r="X10" s="17">
        <f t="shared" si="12"/>
        <v>1530</v>
      </c>
      <c r="Y10" s="17">
        <f t="shared" si="7"/>
        <v>952</v>
      </c>
      <c r="Z10" s="17">
        <f t="shared" si="7"/>
        <v>1530</v>
      </c>
      <c r="AA10" s="17">
        <f t="shared" si="7"/>
        <v>1020</v>
      </c>
      <c r="AB10" s="17">
        <f t="shared" si="7"/>
        <v>1020</v>
      </c>
      <c r="AC10" s="20">
        <f t="shared" si="13"/>
        <v>6052</v>
      </c>
    </row>
    <row r="11" spans="1:29" x14ac:dyDescent="0.3">
      <c r="A11" t="s">
        <v>18</v>
      </c>
      <c r="B11" t="s">
        <v>19</v>
      </c>
      <c r="C11" s="1">
        <v>56</v>
      </c>
      <c r="D11" s="4">
        <v>26</v>
      </c>
      <c r="E11" s="4">
        <v>36</v>
      </c>
      <c r="F11" s="4">
        <v>31</v>
      </c>
      <c r="G11" s="4">
        <v>25</v>
      </c>
      <c r="H11" s="4">
        <v>25</v>
      </c>
      <c r="I11" s="7">
        <f t="shared" si="8"/>
        <v>0</v>
      </c>
      <c r="J11" s="7">
        <f t="shared" si="9"/>
        <v>6</v>
      </c>
      <c r="K11" s="7">
        <f t="shared" si="8"/>
        <v>1</v>
      </c>
      <c r="L11" s="7">
        <f t="shared" si="8"/>
        <v>0</v>
      </c>
      <c r="M11" s="7">
        <f t="shared" si="8"/>
        <v>0</v>
      </c>
      <c r="N11" s="11">
        <f t="shared" si="10"/>
        <v>1456</v>
      </c>
      <c r="O11" s="11">
        <f t="shared" si="5"/>
        <v>2016</v>
      </c>
      <c r="P11" s="11">
        <f t="shared" si="5"/>
        <v>1736</v>
      </c>
      <c r="Q11" s="11">
        <f t="shared" si="5"/>
        <v>1400</v>
      </c>
      <c r="R11" s="11">
        <f t="shared" si="5"/>
        <v>1400</v>
      </c>
      <c r="S11" s="14">
        <f t="shared" si="11"/>
        <v>0</v>
      </c>
      <c r="T11" s="14">
        <f t="shared" si="6"/>
        <v>168</v>
      </c>
      <c r="U11" s="14">
        <f t="shared" si="6"/>
        <v>28</v>
      </c>
      <c r="V11" s="14">
        <f t="shared" si="6"/>
        <v>0</v>
      </c>
      <c r="W11" s="14">
        <f t="shared" si="6"/>
        <v>0</v>
      </c>
      <c r="X11" s="17">
        <f t="shared" si="12"/>
        <v>1456</v>
      </c>
      <c r="Y11" s="17">
        <f t="shared" si="7"/>
        <v>2184</v>
      </c>
      <c r="Z11" s="17">
        <f t="shared" si="7"/>
        <v>1764</v>
      </c>
      <c r="AA11" s="17">
        <f t="shared" si="7"/>
        <v>1400</v>
      </c>
      <c r="AB11" s="17">
        <f t="shared" si="7"/>
        <v>1400</v>
      </c>
      <c r="AC11" s="20">
        <f t="shared" si="13"/>
        <v>8204</v>
      </c>
    </row>
    <row r="12" spans="1:29" x14ac:dyDescent="0.3">
      <c r="A12" t="s">
        <v>20</v>
      </c>
      <c r="B12" t="s">
        <v>21</v>
      </c>
      <c r="C12" s="1">
        <v>27</v>
      </c>
      <c r="D12" s="4">
        <v>34</v>
      </c>
      <c r="E12" s="4">
        <v>33</v>
      </c>
      <c r="F12" s="4">
        <v>26</v>
      </c>
      <c r="G12" s="4">
        <v>38</v>
      </c>
      <c r="H12" s="4">
        <v>38</v>
      </c>
      <c r="I12" s="7">
        <f t="shared" si="8"/>
        <v>4</v>
      </c>
      <c r="J12" s="7">
        <f t="shared" si="9"/>
        <v>3</v>
      </c>
      <c r="K12" s="7">
        <f t="shared" si="8"/>
        <v>0</v>
      </c>
      <c r="L12" s="7">
        <f t="shared" si="8"/>
        <v>8</v>
      </c>
      <c r="M12" s="7">
        <f t="shared" si="8"/>
        <v>8</v>
      </c>
      <c r="N12" s="11">
        <f t="shared" si="10"/>
        <v>918</v>
      </c>
      <c r="O12" s="11">
        <f t="shared" si="5"/>
        <v>891</v>
      </c>
      <c r="P12" s="11">
        <f t="shared" si="5"/>
        <v>702</v>
      </c>
      <c r="Q12" s="11">
        <f t="shared" si="5"/>
        <v>1026</v>
      </c>
      <c r="R12" s="11">
        <f t="shared" si="5"/>
        <v>1026</v>
      </c>
      <c r="S12" s="14">
        <f t="shared" si="11"/>
        <v>54</v>
      </c>
      <c r="T12" s="14">
        <f t="shared" si="6"/>
        <v>40.5</v>
      </c>
      <c r="U12" s="14">
        <f t="shared" si="6"/>
        <v>0</v>
      </c>
      <c r="V12" s="14">
        <f t="shared" si="6"/>
        <v>108</v>
      </c>
      <c r="W12" s="14">
        <f t="shared" si="6"/>
        <v>108</v>
      </c>
      <c r="X12" s="17">
        <f t="shared" si="12"/>
        <v>972</v>
      </c>
      <c r="Y12" s="17">
        <f t="shared" si="7"/>
        <v>931.5</v>
      </c>
      <c r="Z12" s="17">
        <f t="shared" si="7"/>
        <v>702</v>
      </c>
      <c r="AA12" s="17">
        <f t="shared" si="7"/>
        <v>1134</v>
      </c>
      <c r="AB12" s="17">
        <f t="shared" si="7"/>
        <v>1134</v>
      </c>
      <c r="AC12" s="20">
        <f t="shared" si="13"/>
        <v>4873.5</v>
      </c>
    </row>
    <row r="13" spans="1:29" x14ac:dyDescent="0.3">
      <c r="A13" t="s">
        <v>22</v>
      </c>
      <c r="B13" t="s">
        <v>23</v>
      </c>
      <c r="C13" s="1">
        <v>34</v>
      </c>
      <c r="D13" s="4">
        <v>28</v>
      </c>
      <c r="E13" s="4">
        <v>25</v>
      </c>
      <c r="F13" s="4">
        <v>36</v>
      </c>
      <c r="G13" s="4">
        <v>32</v>
      </c>
      <c r="H13" s="4">
        <v>32</v>
      </c>
      <c r="I13" s="7">
        <f t="shared" si="8"/>
        <v>0</v>
      </c>
      <c r="J13" s="7">
        <f t="shared" si="9"/>
        <v>0</v>
      </c>
      <c r="K13" s="7">
        <f t="shared" si="8"/>
        <v>6</v>
      </c>
      <c r="L13" s="7">
        <f t="shared" si="8"/>
        <v>2</v>
      </c>
      <c r="M13" s="7">
        <f t="shared" si="8"/>
        <v>2</v>
      </c>
      <c r="N13" s="11">
        <f t="shared" si="10"/>
        <v>952</v>
      </c>
      <c r="O13" s="11">
        <f t="shared" si="5"/>
        <v>850</v>
      </c>
      <c r="P13" s="11">
        <f t="shared" si="5"/>
        <v>1224</v>
      </c>
      <c r="Q13" s="11">
        <f t="shared" si="5"/>
        <v>1088</v>
      </c>
      <c r="R13" s="11">
        <f t="shared" si="5"/>
        <v>1088</v>
      </c>
      <c r="S13" s="14">
        <f t="shared" si="11"/>
        <v>0</v>
      </c>
      <c r="T13" s="14">
        <f t="shared" si="6"/>
        <v>0</v>
      </c>
      <c r="U13" s="14">
        <f t="shared" si="6"/>
        <v>102</v>
      </c>
      <c r="V13" s="14">
        <f t="shared" si="6"/>
        <v>34</v>
      </c>
      <c r="W13" s="14">
        <f t="shared" si="6"/>
        <v>34</v>
      </c>
      <c r="X13" s="17">
        <f t="shared" si="12"/>
        <v>952</v>
      </c>
      <c r="Y13" s="17">
        <f t="shared" si="7"/>
        <v>850</v>
      </c>
      <c r="Z13" s="17">
        <f t="shared" si="7"/>
        <v>1326</v>
      </c>
      <c r="AA13" s="17">
        <f t="shared" si="7"/>
        <v>1122</v>
      </c>
      <c r="AB13" s="17">
        <f t="shared" si="7"/>
        <v>1122</v>
      </c>
      <c r="AC13" s="20">
        <f t="shared" si="13"/>
        <v>5372</v>
      </c>
    </row>
    <row r="14" spans="1:29" x14ac:dyDescent="0.3">
      <c r="A14" t="s">
        <v>24</v>
      </c>
      <c r="B14" t="s">
        <v>25</v>
      </c>
      <c r="C14" s="1">
        <v>52</v>
      </c>
      <c r="D14" s="4">
        <v>33</v>
      </c>
      <c r="E14" s="4">
        <v>37</v>
      </c>
      <c r="F14" s="4">
        <v>34</v>
      </c>
      <c r="G14" s="4">
        <v>40</v>
      </c>
      <c r="H14" s="4">
        <v>40</v>
      </c>
      <c r="I14" s="7">
        <f t="shared" si="8"/>
        <v>3</v>
      </c>
      <c r="J14" s="7">
        <f t="shared" si="9"/>
        <v>7</v>
      </c>
      <c r="K14" s="7">
        <f t="shared" si="8"/>
        <v>4</v>
      </c>
      <c r="L14" s="7">
        <f t="shared" si="8"/>
        <v>10</v>
      </c>
      <c r="M14" s="7">
        <f t="shared" si="8"/>
        <v>10</v>
      </c>
      <c r="N14" s="11">
        <f t="shared" si="10"/>
        <v>1716</v>
      </c>
      <c r="O14" s="11">
        <f t="shared" si="5"/>
        <v>1924</v>
      </c>
      <c r="P14" s="11">
        <f t="shared" si="5"/>
        <v>1768</v>
      </c>
      <c r="Q14" s="11">
        <f t="shared" si="5"/>
        <v>2080</v>
      </c>
      <c r="R14" s="11">
        <f t="shared" si="5"/>
        <v>2080</v>
      </c>
      <c r="S14" s="14">
        <f t="shared" si="11"/>
        <v>78</v>
      </c>
      <c r="T14" s="14">
        <f t="shared" si="6"/>
        <v>182</v>
      </c>
      <c r="U14" s="14">
        <f t="shared" si="6"/>
        <v>104</v>
      </c>
      <c r="V14" s="14">
        <f t="shared" si="6"/>
        <v>260</v>
      </c>
      <c r="W14" s="14">
        <f t="shared" si="6"/>
        <v>260</v>
      </c>
      <c r="X14" s="17">
        <f t="shared" si="12"/>
        <v>1794</v>
      </c>
      <c r="Y14" s="17">
        <f t="shared" si="7"/>
        <v>2106</v>
      </c>
      <c r="Z14" s="17">
        <f t="shared" si="7"/>
        <v>1872</v>
      </c>
      <c r="AA14" s="17">
        <f t="shared" si="7"/>
        <v>2340</v>
      </c>
      <c r="AB14" s="17">
        <f t="shared" si="7"/>
        <v>2340</v>
      </c>
      <c r="AC14" s="20">
        <f t="shared" si="13"/>
        <v>10452</v>
      </c>
    </row>
    <row r="15" spans="1:29" x14ac:dyDescent="0.3">
      <c r="A15" t="s">
        <v>26</v>
      </c>
      <c r="B15" t="s">
        <v>27</v>
      </c>
      <c r="C15" s="1">
        <v>33</v>
      </c>
      <c r="D15" s="4">
        <v>37</v>
      </c>
      <c r="E15" s="4">
        <v>29</v>
      </c>
      <c r="F15" s="4">
        <v>28</v>
      </c>
      <c r="G15" s="4">
        <v>29</v>
      </c>
      <c r="H15" s="4">
        <v>29</v>
      </c>
      <c r="I15" s="7">
        <f t="shared" si="8"/>
        <v>7</v>
      </c>
      <c r="J15" s="7">
        <f t="shared" si="9"/>
        <v>0</v>
      </c>
      <c r="K15" s="7">
        <f t="shared" si="8"/>
        <v>0</v>
      </c>
      <c r="L15" s="7">
        <f t="shared" si="8"/>
        <v>0</v>
      </c>
      <c r="M15" s="7">
        <f t="shared" si="8"/>
        <v>0</v>
      </c>
      <c r="N15" s="11">
        <f t="shared" si="10"/>
        <v>1221</v>
      </c>
      <c r="O15" s="11">
        <f t="shared" si="5"/>
        <v>957</v>
      </c>
      <c r="P15" s="11">
        <f t="shared" si="5"/>
        <v>924</v>
      </c>
      <c r="Q15" s="11">
        <f t="shared" si="5"/>
        <v>957</v>
      </c>
      <c r="R15" s="11">
        <f t="shared" si="5"/>
        <v>957</v>
      </c>
      <c r="S15" s="14">
        <f t="shared" si="11"/>
        <v>115.5</v>
      </c>
      <c r="T15" s="14">
        <f t="shared" si="6"/>
        <v>0</v>
      </c>
      <c r="U15" s="14">
        <f t="shared" si="6"/>
        <v>0</v>
      </c>
      <c r="V15" s="14">
        <f t="shared" si="6"/>
        <v>0</v>
      </c>
      <c r="W15" s="14">
        <f t="shared" si="6"/>
        <v>0</v>
      </c>
      <c r="X15" s="17">
        <f t="shared" si="12"/>
        <v>1336.5</v>
      </c>
      <c r="Y15" s="17">
        <f t="shared" si="7"/>
        <v>957</v>
      </c>
      <c r="Z15" s="17">
        <f t="shared" si="7"/>
        <v>924</v>
      </c>
      <c r="AA15" s="17">
        <f t="shared" si="7"/>
        <v>957</v>
      </c>
      <c r="AB15" s="17">
        <f t="shared" si="7"/>
        <v>957</v>
      </c>
      <c r="AC15" s="20">
        <f t="shared" si="13"/>
        <v>5131.5</v>
      </c>
    </row>
    <row r="16" spans="1:29" x14ac:dyDescent="0.3">
      <c r="A16" t="s">
        <v>28</v>
      </c>
      <c r="B16" t="s">
        <v>29</v>
      </c>
      <c r="C16" s="1">
        <v>45</v>
      </c>
      <c r="D16" s="4">
        <v>30</v>
      </c>
      <c r="E16" s="4">
        <v>32</v>
      </c>
      <c r="F16" s="4">
        <v>39</v>
      </c>
      <c r="G16" s="4">
        <v>35</v>
      </c>
      <c r="H16" s="4">
        <v>35</v>
      </c>
      <c r="I16" s="7">
        <f t="shared" si="8"/>
        <v>0</v>
      </c>
      <c r="J16" s="7">
        <f t="shared" si="9"/>
        <v>2</v>
      </c>
      <c r="K16" s="7">
        <f t="shared" si="8"/>
        <v>9</v>
      </c>
      <c r="L16" s="7">
        <f t="shared" si="8"/>
        <v>5</v>
      </c>
      <c r="M16" s="7">
        <f t="shared" si="8"/>
        <v>5</v>
      </c>
      <c r="N16" s="11">
        <f t="shared" si="10"/>
        <v>1350</v>
      </c>
      <c r="O16" s="11">
        <f t="shared" si="5"/>
        <v>1440</v>
      </c>
      <c r="P16" s="11">
        <f t="shared" si="5"/>
        <v>1755</v>
      </c>
      <c r="Q16" s="11">
        <f t="shared" si="5"/>
        <v>1575</v>
      </c>
      <c r="R16" s="11">
        <f t="shared" si="5"/>
        <v>1575</v>
      </c>
      <c r="S16" s="14">
        <f t="shared" si="11"/>
        <v>0</v>
      </c>
      <c r="T16" s="14">
        <f t="shared" si="6"/>
        <v>45</v>
      </c>
      <c r="U16" s="14">
        <f t="shared" si="6"/>
        <v>202.5</v>
      </c>
      <c r="V16" s="14">
        <f t="shared" si="6"/>
        <v>112.5</v>
      </c>
      <c r="W16" s="14">
        <f t="shared" si="6"/>
        <v>112.5</v>
      </c>
      <c r="X16" s="17">
        <f t="shared" si="12"/>
        <v>1350</v>
      </c>
      <c r="Y16" s="17">
        <f t="shared" si="7"/>
        <v>1485</v>
      </c>
      <c r="Z16" s="17">
        <f t="shared" si="7"/>
        <v>1957.5</v>
      </c>
      <c r="AA16" s="17">
        <f t="shared" si="7"/>
        <v>1687.5</v>
      </c>
      <c r="AB16" s="17">
        <f t="shared" si="7"/>
        <v>1687.5</v>
      </c>
      <c r="AC16" s="20">
        <f t="shared" si="13"/>
        <v>8167.5</v>
      </c>
    </row>
    <row r="17" spans="1:29" x14ac:dyDescent="0.3">
      <c r="A17" t="s">
        <v>30</v>
      </c>
      <c r="B17" t="s">
        <v>31</v>
      </c>
      <c r="C17" s="1">
        <v>24</v>
      </c>
      <c r="D17" s="4">
        <v>25</v>
      </c>
      <c r="E17" s="4">
        <v>39</v>
      </c>
      <c r="F17" s="4">
        <v>25</v>
      </c>
      <c r="G17" s="4">
        <v>26</v>
      </c>
      <c r="H17" s="4">
        <v>26</v>
      </c>
      <c r="I17" s="7">
        <f t="shared" si="8"/>
        <v>0</v>
      </c>
      <c r="J17" s="7">
        <f t="shared" si="9"/>
        <v>9</v>
      </c>
      <c r="K17" s="7">
        <f t="shared" si="8"/>
        <v>0</v>
      </c>
      <c r="L17" s="7">
        <f t="shared" si="8"/>
        <v>0</v>
      </c>
      <c r="M17" s="7">
        <f t="shared" si="8"/>
        <v>0</v>
      </c>
      <c r="N17" s="11">
        <f t="shared" si="10"/>
        <v>600</v>
      </c>
      <c r="O17" s="11">
        <f t="shared" si="5"/>
        <v>936</v>
      </c>
      <c r="P17" s="11">
        <f t="shared" si="5"/>
        <v>600</v>
      </c>
      <c r="Q17" s="11">
        <f t="shared" si="5"/>
        <v>624</v>
      </c>
      <c r="R17" s="11">
        <f t="shared" si="5"/>
        <v>624</v>
      </c>
      <c r="S17" s="14">
        <f t="shared" si="11"/>
        <v>0</v>
      </c>
      <c r="T17" s="14">
        <f t="shared" si="6"/>
        <v>108</v>
      </c>
      <c r="U17" s="14">
        <f t="shared" si="6"/>
        <v>0</v>
      </c>
      <c r="V17" s="14">
        <f t="shared" si="6"/>
        <v>0</v>
      </c>
      <c r="W17" s="14">
        <f t="shared" si="6"/>
        <v>0</v>
      </c>
      <c r="X17" s="17">
        <f t="shared" si="12"/>
        <v>600</v>
      </c>
      <c r="Y17" s="17">
        <f t="shared" si="7"/>
        <v>1044</v>
      </c>
      <c r="Z17" s="17">
        <f t="shared" si="7"/>
        <v>600</v>
      </c>
      <c r="AA17" s="17">
        <f t="shared" si="7"/>
        <v>624</v>
      </c>
      <c r="AB17" s="17">
        <f t="shared" si="7"/>
        <v>624</v>
      </c>
      <c r="AC17" s="20">
        <f t="shared" si="13"/>
        <v>3492</v>
      </c>
    </row>
    <row r="18" spans="1:29" x14ac:dyDescent="0.3">
      <c r="A18" t="s">
        <v>32</v>
      </c>
      <c r="B18" t="s">
        <v>33</v>
      </c>
      <c r="C18" s="1">
        <v>17</v>
      </c>
      <c r="D18" s="4">
        <v>36</v>
      </c>
      <c r="E18" s="4">
        <v>27</v>
      </c>
      <c r="F18" s="4">
        <v>32</v>
      </c>
      <c r="G18" s="4">
        <v>37</v>
      </c>
      <c r="H18" s="4">
        <v>37</v>
      </c>
      <c r="I18" s="7">
        <f t="shared" si="8"/>
        <v>6</v>
      </c>
      <c r="J18" s="7">
        <f t="shared" si="9"/>
        <v>0</v>
      </c>
      <c r="K18" s="7">
        <f t="shared" si="8"/>
        <v>2</v>
      </c>
      <c r="L18" s="7">
        <f t="shared" si="8"/>
        <v>7</v>
      </c>
      <c r="M18" s="7">
        <f t="shared" si="8"/>
        <v>7</v>
      </c>
      <c r="N18" s="11">
        <f t="shared" si="10"/>
        <v>612</v>
      </c>
      <c r="O18" s="11">
        <f t="shared" si="5"/>
        <v>459</v>
      </c>
      <c r="P18" s="11">
        <f t="shared" si="5"/>
        <v>544</v>
      </c>
      <c r="Q18" s="11">
        <f t="shared" si="5"/>
        <v>629</v>
      </c>
      <c r="R18" s="11">
        <f t="shared" si="5"/>
        <v>629</v>
      </c>
      <c r="S18" s="14">
        <f t="shared" si="11"/>
        <v>51</v>
      </c>
      <c r="T18" s="14">
        <f t="shared" si="6"/>
        <v>0</v>
      </c>
      <c r="U18" s="14">
        <f t="shared" si="6"/>
        <v>17</v>
      </c>
      <c r="V18" s="14">
        <f t="shared" si="6"/>
        <v>59.5</v>
      </c>
      <c r="W18" s="14">
        <f t="shared" si="6"/>
        <v>59.5</v>
      </c>
      <c r="X18" s="17">
        <f t="shared" si="12"/>
        <v>663</v>
      </c>
      <c r="Y18" s="17">
        <f t="shared" si="7"/>
        <v>459</v>
      </c>
      <c r="Z18" s="17">
        <f t="shared" si="7"/>
        <v>561</v>
      </c>
      <c r="AA18" s="17">
        <f t="shared" si="7"/>
        <v>688.5</v>
      </c>
      <c r="AB18" s="17">
        <f t="shared" si="7"/>
        <v>688.5</v>
      </c>
      <c r="AC18" s="20">
        <f t="shared" si="13"/>
        <v>3060</v>
      </c>
    </row>
    <row r="19" spans="1:29" x14ac:dyDescent="0.3">
      <c r="A19" t="s">
        <v>34</v>
      </c>
      <c r="B19" t="s">
        <v>35</v>
      </c>
      <c r="C19" s="1">
        <v>32</v>
      </c>
      <c r="D19" s="4">
        <v>38</v>
      </c>
      <c r="E19" s="4">
        <v>35</v>
      </c>
      <c r="F19" s="4">
        <v>37</v>
      </c>
      <c r="G19" s="4">
        <v>33</v>
      </c>
      <c r="H19" s="4">
        <v>33</v>
      </c>
      <c r="I19" s="7">
        <f t="shared" si="8"/>
        <v>8</v>
      </c>
      <c r="J19" s="7">
        <f t="shared" si="9"/>
        <v>5</v>
      </c>
      <c r="K19" s="7">
        <f t="shared" si="8"/>
        <v>7</v>
      </c>
      <c r="L19" s="7">
        <f t="shared" si="8"/>
        <v>3</v>
      </c>
      <c r="M19" s="7">
        <f t="shared" si="8"/>
        <v>3</v>
      </c>
      <c r="N19" s="11">
        <f t="shared" si="10"/>
        <v>1216</v>
      </c>
      <c r="O19" s="11">
        <f t="shared" si="5"/>
        <v>1120</v>
      </c>
      <c r="P19" s="11">
        <f t="shared" si="5"/>
        <v>1184</v>
      </c>
      <c r="Q19" s="11">
        <f t="shared" si="5"/>
        <v>1056</v>
      </c>
      <c r="R19" s="11">
        <f t="shared" si="5"/>
        <v>1056</v>
      </c>
      <c r="S19" s="14">
        <f t="shared" si="11"/>
        <v>128</v>
      </c>
      <c r="T19" s="14">
        <f t="shared" si="6"/>
        <v>80</v>
      </c>
      <c r="U19" s="14">
        <f t="shared" si="6"/>
        <v>112</v>
      </c>
      <c r="V19" s="14">
        <f t="shared" si="6"/>
        <v>48</v>
      </c>
      <c r="W19" s="14">
        <f t="shared" si="6"/>
        <v>48</v>
      </c>
      <c r="X19" s="17">
        <f t="shared" si="12"/>
        <v>1344</v>
      </c>
      <c r="Y19" s="17">
        <f t="shared" si="7"/>
        <v>1200</v>
      </c>
      <c r="Z19" s="17">
        <f t="shared" si="7"/>
        <v>1296</v>
      </c>
      <c r="AA19" s="17">
        <f t="shared" si="7"/>
        <v>1104</v>
      </c>
      <c r="AB19" s="17">
        <f t="shared" si="7"/>
        <v>1104</v>
      </c>
      <c r="AC19" s="20">
        <f t="shared" si="13"/>
        <v>6048</v>
      </c>
    </row>
    <row r="20" spans="1:29" x14ac:dyDescent="0.3">
      <c r="A20" t="s">
        <v>36</v>
      </c>
      <c r="B20" t="s">
        <v>37</v>
      </c>
      <c r="C20" s="1">
        <v>34</v>
      </c>
      <c r="D20" s="4">
        <v>29</v>
      </c>
      <c r="E20" s="4">
        <v>31</v>
      </c>
      <c r="F20" s="4">
        <v>30</v>
      </c>
      <c r="G20" s="4">
        <v>31</v>
      </c>
      <c r="H20" s="4">
        <v>31</v>
      </c>
      <c r="I20" s="7">
        <f t="shared" si="8"/>
        <v>0</v>
      </c>
      <c r="J20" s="7">
        <f t="shared" si="9"/>
        <v>1</v>
      </c>
      <c r="K20" s="7">
        <f t="shared" si="8"/>
        <v>0</v>
      </c>
      <c r="L20" s="7">
        <f t="shared" si="8"/>
        <v>1</v>
      </c>
      <c r="M20" s="7">
        <f t="shared" si="8"/>
        <v>1</v>
      </c>
      <c r="N20" s="11">
        <f t="shared" si="10"/>
        <v>986</v>
      </c>
      <c r="O20" s="11">
        <f t="shared" ref="O20:O22" si="14">$C20*E20</f>
        <v>1054</v>
      </c>
      <c r="P20" s="11">
        <f t="shared" ref="P20:P22" si="15">$C20*F20</f>
        <v>1020</v>
      </c>
      <c r="Q20" s="11">
        <f t="shared" ref="Q20:Q22" si="16">$C20*G20</f>
        <v>1054</v>
      </c>
      <c r="R20" s="11">
        <f t="shared" ref="R20:R22" si="17">$C20*H20</f>
        <v>1054</v>
      </c>
      <c r="S20" s="14">
        <f t="shared" si="11"/>
        <v>0</v>
      </c>
      <c r="T20" s="14">
        <f t="shared" ref="T20:T22" si="18">0.5*$C20*J20</f>
        <v>17</v>
      </c>
      <c r="U20" s="14">
        <f t="shared" ref="U20:U22" si="19">0.5*$C20*K20</f>
        <v>0</v>
      </c>
      <c r="V20" s="14">
        <f t="shared" ref="V20:V22" si="20">0.5*$C20*L20</f>
        <v>17</v>
      </c>
      <c r="W20" s="14">
        <f t="shared" ref="W20:W22" si="21">0.5*$C20*M20</f>
        <v>17</v>
      </c>
      <c r="X20" s="17">
        <f t="shared" si="12"/>
        <v>986</v>
      </c>
      <c r="Y20" s="17">
        <f t="shared" ref="Y20:Y22" si="22">SUM(O20+T20)</f>
        <v>1071</v>
      </c>
      <c r="Z20" s="17">
        <f t="shared" ref="Z20:Z22" si="23">SUM(P20+U20)</f>
        <v>1020</v>
      </c>
      <c r="AA20" s="17">
        <f t="shared" ref="AA20:AA22" si="24">SUM(Q20+V20)</f>
        <v>1071</v>
      </c>
      <c r="AB20" s="17">
        <f t="shared" ref="AB20:AB22" si="25">SUM(R20+W20)</f>
        <v>1071</v>
      </c>
      <c r="AC20" s="20">
        <f t="shared" si="13"/>
        <v>5219</v>
      </c>
    </row>
    <row r="21" spans="1:29" x14ac:dyDescent="0.3">
      <c r="A21" t="s">
        <v>38</v>
      </c>
      <c r="B21" t="s">
        <v>39</v>
      </c>
      <c r="C21" s="1">
        <v>29</v>
      </c>
      <c r="D21" s="4">
        <v>32</v>
      </c>
      <c r="E21" s="4">
        <v>40</v>
      </c>
      <c r="F21" s="4">
        <v>35</v>
      </c>
      <c r="G21" s="4">
        <v>28</v>
      </c>
      <c r="H21" s="4">
        <v>28</v>
      </c>
      <c r="I21" s="7">
        <f t="shared" si="8"/>
        <v>2</v>
      </c>
      <c r="J21" s="7">
        <f t="shared" si="9"/>
        <v>10</v>
      </c>
      <c r="K21" s="7">
        <f t="shared" si="8"/>
        <v>5</v>
      </c>
      <c r="L21" s="7">
        <f t="shared" si="8"/>
        <v>0</v>
      </c>
      <c r="M21" s="7">
        <f t="shared" si="8"/>
        <v>0</v>
      </c>
      <c r="N21" s="11">
        <f t="shared" si="10"/>
        <v>928</v>
      </c>
      <c r="O21" s="11">
        <f t="shared" si="14"/>
        <v>1160</v>
      </c>
      <c r="P21" s="11">
        <f t="shared" si="15"/>
        <v>1015</v>
      </c>
      <c r="Q21" s="11">
        <f t="shared" si="16"/>
        <v>812</v>
      </c>
      <c r="R21" s="11">
        <f t="shared" si="17"/>
        <v>812</v>
      </c>
      <c r="S21" s="14">
        <f t="shared" si="11"/>
        <v>29</v>
      </c>
      <c r="T21" s="14">
        <f t="shared" si="18"/>
        <v>145</v>
      </c>
      <c r="U21" s="14">
        <f t="shared" si="19"/>
        <v>72.5</v>
      </c>
      <c r="V21" s="14">
        <f t="shared" si="20"/>
        <v>0</v>
      </c>
      <c r="W21" s="14">
        <f t="shared" si="21"/>
        <v>0</v>
      </c>
      <c r="X21" s="17">
        <f t="shared" si="12"/>
        <v>957</v>
      </c>
      <c r="Y21" s="17">
        <f t="shared" si="22"/>
        <v>1305</v>
      </c>
      <c r="Z21" s="17">
        <f t="shared" si="23"/>
        <v>1087.5</v>
      </c>
      <c r="AA21" s="17">
        <f t="shared" si="24"/>
        <v>812</v>
      </c>
      <c r="AB21" s="17">
        <f t="shared" si="25"/>
        <v>812</v>
      </c>
      <c r="AC21" s="20">
        <f t="shared" si="13"/>
        <v>4973.5</v>
      </c>
    </row>
    <row r="22" spans="1:29" x14ac:dyDescent="0.3">
      <c r="A22" t="s">
        <v>40</v>
      </c>
      <c r="B22" t="s">
        <v>41</v>
      </c>
      <c r="C22" s="1">
        <v>32</v>
      </c>
      <c r="D22" s="4">
        <v>27</v>
      </c>
      <c r="E22" s="4">
        <v>26</v>
      </c>
      <c r="F22" s="4">
        <v>29</v>
      </c>
      <c r="G22" s="4">
        <v>39</v>
      </c>
      <c r="H22" s="4">
        <v>39</v>
      </c>
      <c r="I22" s="7">
        <f t="shared" si="8"/>
        <v>0</v>
      </c>
      <c r="J22" s="7">
        <f t="shared" si="9"/>
        <v>0</v>
      </c>
      <c r="K22" s="7">
        <f t="shared" si="8"/>
        <v>0</v>
      </c>
      <c r="L22" s="7">
        <f t="shared" si="8"/>
        <v>9</v>
      </c>
      <c r="M22" s="7">
        <f t="shared" si="8"/>
        <v>9</v>
      </c>
      <c r="N22" s="11">
        <f t="shared" si="10"/>
        <v>864</v>
      </c>
      <c r="O22" s="11">
        <f t="shared" si="14"/>
        <v>832</v>
      </c>
      <c r="P22" s="11">
        <f t="shared" si="15"/>
        <v>928</v>
      </c>
      <c r="Q22" s="11">
        <f t="shared" si="16"/>
        <v>1248</v>
      </c>
      <c r="R22" s="11">
        <f t="shared" si="17"/>
        <v>1248</v>
      </c>
      <c r="S22" s="14">
        <f t="shared" si="11"/>
        <v>0</v>
      </c>
      <c r="T22" s="14">
        <f t="shared" si="18"/>
        <v>0</v>
      </c>
      <c r="U22" s="14">
        <f t="shared" si="19"/>
        <v>0</v>
      </c>
      <c r="V22" s="14">
        <f t="shared" si="20"/>
        <v>144</v>
      </c>
      <c r="W22" s="14">
        <f t="shared" si="21"/>
        <v>144</v>
      </c>
      <c r="X22" s="17">
        <f t="shared" si="12"/>
        <v>864</v>
      </c>
      <c r="Y22" s="17">
        <f t="shared" si="22"/>
        <v>832</v>
      </c>
      <c r="Z22" s="17">
        <f t="shared" si="23"/>
        <v>928</v>
      </c>
      <c r="AA22" s="17">
        <f t="shared" si="24"/>
        <v>1392</v>
      </c>
      <c r="AB22" s="17">
        <f t="shared" si="25"/>
        <v>1392</v>
      </c>
      <c r="AC22" s="20">
        <f t="shared" si="13"/>
        <v>5408</v>
      </c>
    </row>
    <row r="24" spans="1:29" x14ac:dyDescent="0.3">
      <c r="A24" t="s">
        <v>42</v>
      </c>
      <c r="C24" s="1">
        <f t="shared" ref="C24:N24" si="26">MIN(C4:C22)</f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2">
        <f t="shared" si="26"/>
        <v>600</v>
      </c>
      <c r="O24" s="2">
        <f t="shared" ref="O24:R24" si="27">MIN(O4:O22)</f>
        <v>459</v>
      </c>
      <c r="P24" s="2">
        <f t="shared" si="27"/>
        <v>544</v>
      </c>
      <c r="Q24" s="2">
        <f t="shared" si="27"/>
        <v>624</v>
      </c>
      <c r="R24" s="2">
        <f t="shared" si="27"/>
        <v>616</v>
      </c>
      <c r="S24" s="2">
        <f t="shared" ref="S24" si="28">MIN(S4:S22)</f>
        <v>0</v>
      </c>
      <c r="T24" s="2">
        <f t="shared" ref="T24:W24" si="29">MIN(T4:T22)</f>
        <v>0</v>
      </c>
      <c r="U24" s="2">
        <f t="shared" si="29"/>
        <v>0</v>
      </c>
      <c r="V24" s="2">
        <f t="shared" si="29"/>
        <v>0</v>
      </c>
      <c r="W24" s="2">
        <f t="shared" si="29"/>
        <v>0</v>
      </c>
      <c r="X24" s="18">
        <f>MIN(X4:X22)</f>
        <v>600</v>
      </c>
      <c r="Y24" s="18">
        <f>MIN(Y4:Y22)</f>
        <v>459</v>
      </c>
      <c r="Z24" s="18">
        <f t="shared" ref="Z24:AB24" si="30">MIN(Z4:Z22)</f>
        <v>561</v>
      </c>
      <c r="AA24" s="18">
        <f t="shared" si="30"/>
        <v>624</v>
      </c>
      <c r="AB24" s="18">
        <f t="shared" si="30"/>
        <v>616</v>
      </c>
      <c r="AC24" s="21">
        <f>MIN(AC4:AC22)</f>
        <v>3060</v>
      </c>
    </row>
    <row r="25" spans="1:29" x14ac:dyDescent="0.3">
      <c r="A25" t="s">
        <v>43</v>
      </c>
      <c r="C25" s="1">
        <f t="shared" ref="C25:N25" si="31">MAX(C4:C22)</f>
        <v>56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2">
        <f t="shared" si="31"/>
        <v>1716</v>
      </c>
      <c r="O25" s="2">
        <f t="shared" ref="O25:R25" si="32">MAX(O4:O22)</f>
        <v>2040</v>
      </c>
      <c r="P25" s="2">
        <f t="shared" si="32"/>
        <v>1768</v>
      </c>
      <c r="Q25" s="2">
        <f t="shared" si="32"/>
        <v>2080</v>
      </c>
      <c r="R25" s="2">
        <f t="shared" si="32"/>
        <v>2080</v>
      </c>
      <c r="S25" s="2">
        <f t="shared" ref="S25:X25" si="33">MAX(S4:S22)</f>
        <v>170</v>
      </c>
      <c r="T25" s="2">
        <f t="shared" ref="T25:W25" si="34">MAX(T4:T22)</f>
        <v>255</v>
      </c>
      <c r="U25" s="2">
        <f t="shared" si="34"/>
        <v>202.5</v>
      </c>
      <c r="V25" s="2">
        <f t="shared" si="34"/>
        <v>260</v>
      </c>
      <c r="W25" s="2">
        <f t="shared" si="34"/>
        <v>260</v>
      </c>
      <c r="X25" s="18">
        <f t="shared" si="33"/>
        <v>1794</v>
      </c>
      <c r="Y25" s="18">
        <f t="shared" ref="Y25:AB25" si="35">MAX(Y4:Y22)</f>
        <v>2295</v>
      </c>
      <c r="Z25" s="18">
        <f t="shared" si="35"/>
        <v>1957.5</v>
      </c>
      <c r="AA25" s="18">
        <f t="shared" si="35"/>
        <v>2340</v>
      </c>
      <c r="AB25" s="18">
        <f t="shared" si="35"/>
        <v>2340</v>
      </c>
      <c r="AC25" s="3">
        <f>MAX(AC4:AC22)</f>
        <v>10452</v>
      </c>
    </row>
    <row r="26" spans="1:29" x14ac:dyDescent="0.3">
      <c r="A26" t="s">
        <v>44</v>
      </c>
      <c r="C26" s="1">
        <f t="shared" ref="C26:N26" si="36">AVERAGE(C4:C22)</f>
        <v>34.526315789473685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2">
        <f t="shared" si="36"/>
        <v>1090.9473684210527</v>
      </c>
      <c r="O26" s="2">
        <f t="shared" ref="O26:R26" si="37">AVERAGE(O4:O22)</f>
        <v>1142.6842105263158</v>
      </c>
      <c r="P26" s="2">
        <f t="shared" si="37"/>
        <v>1120.3157894736842</v>
      </c>
      <c r="Q26" s="2">
        <f t="shared" si="37"/>
        <v>1125.8421052631579</v>
      </c>
      <c r="R26" s="2">
        <f t="shared" si="37"/>
        <v>1126.421052631579</v>
      </c>
      <c r="S26" s="2">
        <f t="shared" ref="S26:X26" si="38">AVERAGE(S4:S22)</f>
        <v>46.657894736842103</v>
      </c>
      <c r="T26" s="2">
        <f t="shared" ref="T26:W26" si="39">AVERAGE(T4:T22)</f>
        <v>68.65789473684211</v>
      </c>
      <c r="U26" s="2">
        <f t="shared" si="39"/>
        <v>55.657894736842103</v>
      </c>
      <c r="V26" s="2">
        <f t="shared" si="39"/>
        <v>61.342105263157897</v>
      </c>
      <c r="W26" s="2">
        <f t="shared" si="39"/>
        <v>62.789473684210527</v>
      </c>
      <c r="X26" s="18">
        <f t="shared" si="38"/>
        <v>1137.6052631578948</v>
      </c>
      <c r="Y26" s="18">
        <f t="shared" ref="Y26:AB26" si="40">AVERAGE(Y4:Y22)</f>
        <v>1211.3421052631579</v>
      </c>
      <c r="Z26" s="18">
        <f t="shared" si="40"/>
        <v>1175.9736842105262</v>
      </c>
      <c r="AA26" s="18">
        <f t="shared" si="40"/>
        <v>1187.1842105263158</v>
      </c>
      <c r="AB26" s="18">
        <f t="shared" si="40"/>
        <v>1189.2105263157894</v>
      </c>
      <c r="AC26" s="2">
        <f>AVERAGE(AC4:AC22)</f>
        <v>5901.3157894736842</v>
      </c>
    </row>
    <row r="27" spans="1:29" x14ac:dyDescent="0.3">
      <c r="A27" t="s">
        <v>45</v>
      </c>
      <c r="C27" s="1">
        <f t="shared" ref="C27:N27" si="41">SUM(C4:C22)</f>
        <v>656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2">
        <f t="shared" si="41"/>
        <v>20728</v>
      </c>
      <c r="O27" s="2">
        <f t="shared" ref="O27:R27" si="42">SUM(O4:O22)</f>
        <v>21711</v>
      </c>
      <c r="P27" s="2">
        <f t="shared" si="42"/>
        <v>21286</v>
      </c>
      <c r="Q27" s="2">
        <f t="shared" si="42"/>
        <v>21391</v>
      </c>
      <c r="R27" s="2">
        <f t="shared" si="42"/>
        <v>21402</v>
      </c>
      <c r="S27" s="2">
        <f t="shared" ref="S27:X27" si="43">SUM(S4:S22)</f>
        <v>886.5</v>
      </c>
      <c r="T27" s="2">
        <f t="shared" ref="T27:W27" si="44">SUM(T4:T22)</f>
        <v>1304.5</v>
      </c>
      <c r="U27" s="2">
        <f t="shared" si="44"/>
        <v>1057.5</v>
      </c>
      <c r="V27" s="2">
        <f t="shared" si="44"/>
        <v>1165.5</v>
      </c>
      <c r="W27" s="2">
        <f t="shared" si="44"/>
        <v>1193</v>
      </c>
      <c r="X27" s="18">
        <f t="shared" si="43"/>
        <v>21614.5</v>
      </c>
      <c r="Y27" s="18">
        <f t="shared" ref="Y27:AB27" si="45">SUM(Y4:Y22)</f>
        <v>23015.5</v>
      </c>
      <c r="Z27" s="18">
        <f t="shared" si="45"/>
        <v>22343.5</v>
      </c>
      <c r="AA27" s="18">
        <f t="shared" si="45"/>
        <v>22556.5</v>
      </c>
      <c r="AB27" s="18">
        <f t="shared" si="45"/>
        <v>22595</v>
      </c>
      <c r="AC27" s="3">
        <f>SUM(AC4:AC22)</f>
        <v>112125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SANJAY</dc:creator>
  <cp:lastModifiedBy>A SANJAY</cp:lastModifiedBy>
  <dcterms:created xsi:type="dcterms:W3CDTF">2026-07-17T20:55:24Z</dcterms:created>
  <dcterms:modified xsi:type="dcterms:W3CDTF">2026-07-18T21:46:22Z</dcterms:modified>
</cp:coreProperties>
</file>